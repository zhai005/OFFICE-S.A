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Resumen" sheetId="1" state="visible" r:id="rId1"/>
    <sheet xmlns:r="http://schemas.openxmlformats.org/officeDocument/2006/relationships" name="Base de Datos Empleados" sheetId="2" state="visible" r:id="rId2"/>
  </sheets>
  <definedNames>
    <definedName name="_xlnm._FilterDatabase" localSheetId="1" hidden="1">'Base de Datos Empleados'!$A$1:$J$301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&quot;$&quot;#,##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E8449"/>
      <sz val="10"/>
    </font>
    <font>
      <name val="Segoe UI"/>
      <b val="1"/>
      <color rgb="00E74C3C"/>
      <sz val="10"/>
    </font>
    <font>
      <name val="Segoe UI"/>
      <b val="1"/>
      <color rgb="002C3E50"/>
      <sz val="18"/>
    </font>
    <font>
      <name val="Segoe UI"/>
      <b val="1"/>
      <color rgb="005D6D7E"/>
      <sz val="10"/>
    </font>
    <font>
      <name val="Segoe UI"/>
      <b val="1"/>
      <color rgb="002C3E50"/>
      <sz val="16"/>
    </font>
    <font>
      <name val="Segoe UI"/>
      <b val="1"/>
      <color rgb="002C3E50"/>
      <sz val="14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4F6F7"/>
        <bgColor rgb="00F4F6F7"/>
      </patternFill>
    </fill>
    <fill>
      <patternFill patternType="solid">
        <fgColor rgb="00ECF0F1"/>
        <bgColor rgb="00ECF0F1"/>
      </patternFill>
    </fill>
    <fill>
      <patternFill patternType="solid">
        <fgColor rgb="00D6DBDF"/>
        <bgColor rgb="00D6DBDF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2C3E50"/>
      </top>
      <bottom style="double">
        <color rgb="002C3E5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1" fontId="7" fillId="4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3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right" vertical="center"/>
    </xf>
    <xf numFmtId="0" fontId="2" fillId="0" borderId="1" pivotButton="0" quotePrefix="0" xfId="0"/>
    <xf numFmtId="3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right" vertical="center"/>
    </xf>
    <xf numFmtId="0" fontId="9" fillId="5" borderId="2" pivotButton="0" quotePrefix="0" xfId="0"/>
    <xf numFmtId="3" fontId="9" fillId="5" borderId="2" applyAlignment="1" pivotButton="0" quotePrefix="0" xfId="0">
      <alignment horizontal="center" vertical="center"/>
    </xf>
    <xf numFmtId="166" fontId="9" fillId="5" borderId="2" applyAlignment="1" pivotButton="0" quotePrefix="0" xfId="0">
      <alignment horizontal="right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Nómina Total por Departamento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Resumen'!D9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Resumen'!$B$10:$B$16</f>
            </numRef>
          </cat>
          <val>
            <numRef>
              <f>'Dashboard Resumen'!$D$10:$D$16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 en Pesos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/>
    <row r="2">
      <c r="B2" s="1" t="inlineStr">
        <is>
          <t>DASHBOARD DE RECURSOS HUMANOS</t>
        </is>
      </c>
    </row>
    <row r="3"/>
    <row r="4">
      <c r="B4" s="2" t="inlineStr">
        <is>
          <t>Total Empleados</t>
        </is>
      </c>
      <c r="C4" s="3" t="n"/>
      <c r="E4" s="2" t="inlineStr">
        <is>
          <t>Nómina Mensual Total</t>
        </is>
      </c>
      <c r="F4" s="3" t="n"/>
      <c r="H4" s="2" t="inlineStr">
        <is>
          <t>Salario Promedio</t>
        </is>
      </c>
      <c r="I4" s="3" t="n"/>
    </row>
    <row r="5">
      <c r="B5" s="4">
        <f>COUNTA('Base de Datos Empleados'!A2:A301)</f>
        <v/>
      </c>
      <c r="C5" s="3" t="n"/>
      <c r="E5" s="5">
        <f>SUM('Base de Datos Empleados'!G2:G301)</f>
        <v/>
      </c>
      <c r="F5" s="3" t="n"/>
      <c r="H5" s="5">
        <f>AVERAGE('Base de Datos Empleados'!G2:G301)</f>
        <v/>
      </c>
      <c r="I5" s="3" t="n"/>
    </row>
    <row r="6"/>
    <row r="7"/>
    <row r="8">
      <c r="B8" s="6" t="inlineStr">
        <is>
          <t>Resumen por Departamento</t>
        </is>
      </c>
    </row>
    <row r="9">
      <c r="B9" s="7" t="inlineStr">
        <is>
          <t>Departamento</t>
        </is>
      </c>
      <c r="C9" s="8" t="inlineStr">
        <is>
          <t>Nº Empleados</t>
        </is>
      </c>
      <c r="D9" s="8" t="inlineStr">
        <is>
          <t>Nómina Total</t>
        </is>
      </c>
      <c r="E9" s="8" t="inlineStr">
        <is>
          <t>Salario Promedio</t>
        </is>
      </c>
    </row>
    <row r="10">
      <c r="B10" s="9" t="inlineStr">
        <is>
          <t>Ventas</t>
        </is>
      </c>
      <c r="C10" s="10">
        <f>COUNTIF('Base de Datos Empleados'!$C$2:$C$301, B10)</f>
        <v/>
      </c>
      <c r="D10" s="11">
        <f>SUMIF('Base de Datos Empleados'!$C$2:$C$301, B10, 'Base de Datos Empleados'!$G$2:$G$301)</f>
        <v/>
      </c>
      <c r="E10" s="11">
        <f>AVERAGEIF('Base de Datos Empleados'!$C$2:$C$301, B10, 'Base de Datos Empleados'!$G$2:$G$301)</f>
        <v/>
      </c>
    </row>
    <row r="11">
      <c r="B11" s="12" t="inlineStr">
        <is>
          <t>Compras</t>
        </is>
      </c>
      <c r="C11" s="13">
        <f>COUNTIF('Base de Datos Empleados'!$C$2:$C$301, B11)</f>
        <v/>
      </c>
      <c r="D11" s="14">
        <f>SUMIF('Base de Datos Empleados'!$C$2:$C$301, B11, 'Base de Datos Empleados'!$G$2:$G$301)</f>
        <v/>
      </c>
      <c r="E11" s="14">
        <f>AVERAGEIF('Base de Datos Empleados'!$C$2:$C$301, B11, 'Base de Datos Empleados'!$G$2:$G$301)</f>
        <v/>
      </c>
    </row>
    <row r="12">
      <c r="B12" s="9" t="inlineStr">
        <is>
          <t>Sistemas</t>
        </is>
      </c>
      <c r="C12" s="10">
        <f>COUNTIF('Base de Datos Empleados'!$C$2:$C$301, B12)</f>
        <v/>
      </c>
      <c r="D12" s="11">
        <f>SUMIF('Base de Datos Empleados'!$C$2:$C$301, B12, 'Base de Datos Empleados'!$G$2:$G$301)</f>
        <v/>
      </c>
      <c r="E12" s="11">
        <f>AVERAGEIF('Base de Datos Empleados'!$C$2:$C$301, B12, 'Base de Datos Empleados'!$G$2:$G$301)</f>
        <v/>
      </c>
    </row>
    <row r="13">
      <c r="B13" s="12" t="inlineStr">
        <is>
          <t>Recursos Humanos</t>
        </is>
      </c>
      <c r="C13" s="13">
        <f>COUNTIF('Base de Datos Empleados'!$C$2:$C$301, B13)</f>
        <v/>
      </c>
      <c r="D13" s="14">
        <f>SUMIF('Base de Datos Empleados'!$C$2:$C$301, B13, 'Base de Datos Empleados'!$G$2:$G$301)</f>
        <v/>
      </c>
      <c r="E13" s="14">
        <f>AVERAGEIF('Base de Datos Empleados'!$C$2:$C$301, B13, 'Base de Datos Empleados'!$G$2:$G$301)</f>
        <v/>
      </c>
    </row>
    <row r="14">
      <c r="B14" s="9" t="inlineStr">
        <is>
          <t>Contabilidad</t>
        </is>
      </c>
      <c r="C14" s="10">
        <f>COUNTIF('Base de Datos Empleados'!$C$2:$C$301, B14)</f>
        <v/>
      </c>
      <c r="D14" s="11">
        <f>SUMIF('Base de Datos Empleados'!$C$2:$C$301, B14, 'Base de Datos Empleados'!$G$2:$G$301)</f>
        <v/>
      </c>
      <c r="E14" s="11">
        <f>AVERAGEIF('Base de Datos Empleados'!$C$2:$C$301, B14, 'Base de Datos Empleados'!$G$2:$G$301)</f>
        <v/>
      </c>
    </row>
    <row r="15">
      <c r="B15" s="12" t="inlineStr">
        <is>
          <t>Marketing</t>
        </is>
      </c>
      <c r="C15" s="13">
        <f>COUNTIF('Base de Datos Empleados'!$C$2:$C$301, B15)</f>
        <v/>
      </c>
      <c r="D15" s="14">
        <f>SUMIF('Base de Datos Empleados'!$C$2:$C$301, B15, 'Base de Datos Empleados'!$G$2:$G$301)</f>
        <v/>
      </c>
      <c r="E15" s="14">
        <f>AVERAGEIF('Base de Datos Empleados'!$C$2:$C$301, B15, 'Base de Datos Empleados'!$G$2:$G$301)</f>
        <v/>
      </c>
    </row>
    <row r="16">
      <c r="B16" s="9" t="inlineStr">
        <is>
          <t>Operaciones</t>
        </is>
      </c>
      <c r="C16" s="10">
        <f>COUNTIF('Base de Datos Empleados'!$C$2:$C$301, B16)</f>
        <v/>
      </c>
      <c r="D16" s="11">
        <f>SUMIF('Base de Datos Empleados'!$C$2:$C$301, B16, 'Base de Datos Empleados'!$G$2:$G$301)</f>
        <v/>
      </c>
      <c r="E16" s="11">
        <f>AVERAGEIF('Base de Datos Empleados'!$C$2:$C$301, B16, 'Base de Datos Empleados'!$G$2:$G$301)</f>
        <v/>
      </c>
    </row>
    <row r="17">
      <c r="B17" s="15" t="inlineStr">
        <is>
          <t>Total General</t>
        </is>
      </c>
      <c r="C17" s="16">
        <f>SUM(C10:C16)</f>
        <v/>
      </c>
      <c r="D17" s="17">
        <f>SUM(D10:D16)</f>
        <v/>
      </c>
      <c r="E17" s="17">
        <f>AVERAGE('Base de Datos Empleados'!G2:G301)</f>
        <v/>
      </c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  <col width="19" customWidth="1" min="3" max="3"/>
    <col width="17" customWidth="1" min="4" max="4"/>
    <col width="12" customWidth="1" min="5" max="5"/>
    <col width="33" customWidth="1" min="6" max="6"/>
    <col width="12" customWidth="1" min="7" max="7"/>
    <col width="19" customWidth="1" min="8" max="8"/>
    <col width="37" customWidth="1" min="9" max="9"/>
    <col width="12" customWidth="1" min="10" max="10"/>
  </cols>
  <sheetData>
    <row r="1">
      <c r="A1" s="8" t="inlineStr">
        <is>
          <t>No. Empleado</t>
        </is>
      </c>
      <c r="B1" s="7" t="inlineStr">
        <is>
          <t>Nombre</t>
        </is>
      </c>
      <c r="C1" s="7" t="inlineStr">
        <is>
          <t>Departamento</t>
        </is>
      </c>
      <c r="D1" s="7" t="inlineStr">
        <is>
          <t>Jefe</t>
        </is>
      </c>
      <c r="E1" s="8" t="inlineStr">
        <is>
          <t>Teléfono</t>
        </is>
      </c>
      <c r="F1" s="7" t="inlineStr">
        <is>
          <t>Puesto</t>
        </is>
      </c>
      <c r="G1" s="7" t="inlineStr">
        <is>
          <t>Salario</t>
        </is>
      </c>
      <c r="H1" s="8" t="inlineStr">
        <is>
          <t>Fecha de Ingreso</t>
        </is>
      </c>
      <c r="I1" s="7" t="inlineStr">
        <is>
          <t>Correo Electrónico</t>
        </is>
      </c>
      <c r="J1" s="8" t="inlineStr">
        <is>
          <t>Estatus</t>
        </is>
      </c>
    </row>
    <row r="2">
      <c r="A2" s="18" t="n">
        <v>101</v>
      </c>
      <c r="B2" s="19" t="inlineStr">
        <is>
          <t>Juan Pérez</t>
        </is>
      </c>
      <c r="C2" s="19" t="inlineStr">
        <is>
          <t>Ventas</t>
        </is>
      </c>
      <c r="D2" s="19" t="inlineStr">
        <is>
          <t>Laura Gómez</t>
        </is>
      </c>
      <c r="E2" s="20" t="inlineStr">
        <is>
          <t>555-1234</t>
        </is>
      </c>
      <c r="F2" s="19" t="inlineStr">
        <is>
          <t>Ejecutivo</t>
        </is>
      </c>
      <c r="G2" s="21" t="n">
        <v>14500</v>
      </c>
      <c r="H2" s="22" t="n">
        <v>44972</v>
      </c>
      <c r="I2" s="19" t="inlineStr">
        <is>
          <t>juan.perez@empresa.com</t>
        </is>
      </c>
      <c r="J2" s="23" t="inlineStr">
        <is>
          <t>Activo</t>
        </is>
      </c>
    </row>
    <row r="3">
      <c r="A3" s="24" t="n">
        <v>102</v>
      </c>
      <c r="B3" s="25" t="inlineStr">
        <is>
          <t>Ana Ruiz</t>
        </is>
      </c>
      <c r="C3" s="25" t="inlineStr">
        <is>
          <t>Compras</t>
        </is>
      </c>
      <c r="D3" s="25" t="inlineStr">
        <is>
          <t>Carlos Díaz</t>
        </is>
      </c>
      <c r="E3" s="26" t="inlineStr">
        <is>
          <t>555-2345</t>
        </is>
      </c>
      <c r="F3" s="25" t="inlineStr">
        <is>
          <t>Auxiliar</t>
        </is>
      </c>
      <c r="G3" s="27" t="n">
        <v>11800</v>
      </c>
      <c r="H3" s="28" t="n">
        <v>45301</v>
      </c>
      <c r="I3" s="25" t="inlineStr">
        <is>
          <t>ana.ruiz@empresa.com</t>
        </is>
      </c>
      <c r="J3" s="29" t="inlineStr">
        <is>
          <t>Activo</t>
        </is>
      </c>
    </row>
    <row r="4">
      <c r="A4" s="18" t="n">
        <v>103</v>
      </c>
      <c r="B4" s="19" t="inlineStr">
        <is>
          <t>Luis Torres</t>
        </is>
      </c>
      <c r="C4" s="19" t="inlineStr">
        <is>
          <t>Sistemas</t>
        </is>
      </c>
      <c r="D4" s="19" t="inlineStr">
        <is>
          <t>Miguel López</t>
        </is>
      </c>
      <c r="E4" s="20" t="inlineStr">
        <is>
          <t>555-3456</t>
        </is>
      </c>
      <c r="F4" s="19" t="inlineStr">
        <is>
          <t>Programador</t>
        </is>
      </c>
      <c r="G4" s="21" t="n">
        <v>18500</v>
      </c>
      <c r="H4" s="22" t="n">
        <v>44812</v>
      </c>
      <c r="I4" s="19" t="inlineStr">
        <is>
          <t>luis.torres@empresa.com</t>
        </is>
      </c>
      <c r="J4" s="23" t="inlineStr">
        <is>
          <t>Activo</t>
        </is>
      </c>
    </row>
    <row r="5">
      <c r="A5" s="24" t="n">
        <v>104</v>
      </c>
      <c r="B5" s="25" t="inlineStr">
        <is>
          <t>Ricardo Gómez Pérez</t>
        </is>
      </c>
      <c r="C5" s="25" t="inlineStr">
        <is>
          <t>Marketing</t>
        </is>
      </c>
      <c r="D5" s="25" t="inlineStr">
        <is>
          <t>Sofía Castro</t>
        </is>
      </c>
      <c r="E5" s="26" t="inlineStr">
        <is>
          <t>555-4657</t>
        </is>
      </c>
      <c r="F5" s="25" t="inlineStr">
        <is>
          <t>Coordinador de Marketing</t>
        </is>
      </c>
      <c r="G5" s="27" t="n">
        <v>20200</v>
      </c>
      <c r="H5" s="28" t="n">
        <v>43672</v>
      </c>
      <c r="I5" s="25" t="inlineStr">
        <is>
          <t>ricardo.gomez104@empresa.com</t>
        </is>
      </c>
      <c r="J5" s="29" t="inlineStr">
        <is>
          <t>Activo</t>
        </is>
      </c>
    </row>
    <row r="6">
      <c r="A6" s="18" t="n">
        <v>105</v>
      </c>
      <c r="B6" s="19" t="inlineStr">
        <is>
          <t>Andrea Mendoza Castro</t>
        </is>
      </c>
      <c r="C6" s="19" t="inlineStr">
        <is>
          <t>Contabilidad</t>
        </is>
      </c>
      <c r="D6" s="19" t="inlineStr">
        <is>
          <t>Roberto Méndez</t>
        </is>
      </c>
      <c r="E6" s="20" t="inlineStr">
        <is>
          <t>555-7912</t>
        </is>
      </c>
      <c r="F6" s="19" t="inlineStr">
        <is>
          <t>Auxiliar Contable</t>
        </is>
      </c>
      <c r="G6" s="21" t="n">
        <v>17800</v>
      </c>
      <c r="H6" s="22" t="n">
        <v>43231</v>
      </c>
      <c r="I6" s="19" t="inlineStr">
        <is>
          <t>andrea.mendoza@empresa.com</t>
        </is>
      </c>
      <c r="J6" s="23" t="inlineStr">
        <is>
          <t>Activo</t>
        </is>
      </c>
    </row>
    <row r="7">
      <c r="A7" s="24" t="n">
        <v>106</v>
      </c>
      <c r="B7" s="25" t="inlineStr">
        <is>
          <t>Pedro Rodríguez García</t>
        </is>
      </c>
      <c r="C7" s="25" t="inlineStr">
        <is>
          <t>Contabilidad</t>
        </is>
      </c>
      <c r="D7" s="25" t="inlineStr">
        <is>
          <t>Roberto Méndez</t>
        </is>
      </c>
      <c r="E7" s="26" t="inlineStr">
        <is>
          <t>555-4257</t>
        </is>
      </c>
      <c r="F7" s="25" t="inlineStr">
        <is>
          <t>Auxiliar Contable</t>
        </is>
      </c>
      <c r="G7" s="27" t="n">
        <v>17500</v>
      </c>
      <c r="H7" s="28" t="n">
        <v>46033</v>
      </c>
      <c r="I7" s="25" t="inlineStr">
        <is>
          <t>pedro.rodriguez@empresa.com</t>
        </is>
      </c>
      <c r="J7" s="29" t="inlineStr">
        <is>
          <t>Activo</t>
        </is>
      </c>
    </row>
    <row r="8">
      <c r="A8" s="18" t="n">
        <v>107</v>
      </c>
      <c r="B8" s="19" t="inlineStr">
        <is>
          <t>Sofía Castillo Reyes</t>
        </is>
      </c>
      <c r="C8" s="19" t="inlineStr">
        <is>
          <t>Sistemas</t>
        </is>
      </c>
      <c r="D8" s="19" t="inlineStr">
        <is>
          <t>Miguel López</t>
        </is>
      </c>
      <c r="E8" s="20" t="inlineStr">
        <is>
          <t>555-7924</t>
        </is>
      </c>
      <c r="F8" s="19" t="inlineStr">
        <is>
          <t>Programador</t>
        </is>
      </c>
      <c r="G8" s="21" t="n">
        <v>24700</v>
      </c>
      <c r="H8" s="22" t="n">
        <v>44494</v>
      </c>
      <c r="I8" s="19" t="inlineStr">
        <is>
          <t>sofia.castillo@empresa.com</t>
        </is>
      </c>
      <c r="J8" s="23" t="inlineStr">
        <is>
          <t>Activo</t>
        </is>
      </c>
    </row>
    <row r="9">
      <c r="A9" s="24" t="n">
        <v>108</v>
      </c>
      <c r="B9" s="25" t="inlineStr">
        <is>
          <t>Pedro Ramos Sánchez</t>
        </is>
      </c>
      <c r="C9" s="25" t="inlineStr">
        <is>
          <t>Ventas</t>
        </is>
      </c>
      <c r="D9" s="25" t="inlineStr">
        <is>
          <t>Laura Gómez</t>
        </is>
      </c>
      <c r="E9" s="26" t="inlineStr">
        <is>
          <t>555-2584</t>
        </is>
      </c>
      <c r="F9" s="25" t="inlineStr">
        <is>
          <t>Ejecutivo de Ventas</t>
        </is>
      </c>
      <c r="G9" s="27" t="n">
        <v>21800</v>
      </c>
      <c r="H9" s="28" t="n">
        <v>44571</v>
      </c>
      <c r="I9" s="25" t="inlineStr">
        <is>
          <t>pedro.ramos108@empresa.com</t>
        </is>
      </c>
      <c r="J9" s="29" t="inlineStr">
        <is>
          <t>Activo</t>
        </is>
      </c>
    </row>
    <row r="10">
      <c r="A10" s="18" t="n">
        <v>109</v>
      </c>
      <c r="B10" s="19" t="inlineStr">
        <is>
          <t>Gabriela Martínez Chávez</t>
        </is>
      </c>
      <c r="C10" s="19" t="inlineStr">
        <is>
          <t>Ventas</t>
        </is>
      </c>
      <c r="D10" s="19" t="inlineStr">
        <is>
          <t>Laura Gómez</t>
        </is>
      </c>
      <c r="E10" s="20" t="inlineStr">
        <is>
          <t>555-3045</t>
        </is>
      </c>
      <c r="F10" s="19" t="inlineStr">
        <is>
          <t>Gerente de Ventas</t>
        </is>
      </c>
      <c r="G10" s="21" t="n">
        <v>34700</v>
      </c>
      <c r="H10" s="22" t="n">
        <v>44651</v>
      </c>
      <c r="I10" s="19" t="inlineStr">
        <is>
          <t>gabriela.martinez@empresa.com</t>
        </is>
      </c>
      <c r="J10" s="23" t="inlineStr">
        <is>
          <t>Activo</t>
        </is>
      </c>
    </row>
    <row r="11">
      <c r="A11" s="24" t="n">
        <v>110</v>
      </c>
      <c r="B11" s="25" t="inlineStr">
        <is>
          <t>Elena Rivera Álvarez</t>
        </is>
      </c>
      <c r="C11" s="25" t="inlineStr">
        <is>
          <t>Contabilidad</t>
        </is>
      </c>
      <c r="D11" s="25" t="inlineStr">
        <is>
          <t>Roberto Méndez</t>
        </is>
      </c>
      <c r="E11" s="26" t="inlineStr">
        <is>
          <t>555-4150</t>
        </is>
      </c>
      <c r="F11" s="25" t="inlineStr">
        <is>
          <t>Auditor Interno</t>
        </is>
      </c>
      <c r="G11" s="27" t="n">
        <v>35800</v>
      </c>
      <c r="H11" s="28" t="n">
        <v>45986</v>
      </c>
      <c r="I11" s="25" t="inlineStr">
        <is>
          <t>elena.rivera@empresa.com</t>
        </is>
      </c>
      <c r="J11" s="29" t="inlineStr">
        <is>
          <t>Activo</t>
        </is>
      </c>
    </row>
    <row r="12">
      <c r="A12" s="18" t="n">
        <v>111</v>
      </c>
      <c r="B12" s="19" t="inlineStr">
        <is>
          <t>Andrea Rodríguez Ramos</t>
        </is>
      </c>
      <c r="C12" s="19" t="inlineStr">
        <is>
          <t>Sistemas</t>
        </is>
      </c>
      <c r="D12" s="19" t="inlineStr">
        <is>
          <t>Miguel López</t>
        </is>
      </c>
      <c r="E12" s="20" t="inlineStr">
        <is>
          <t>555-2654</t>
        </is>
      </c>
      <c r="F12" s="19" t="inlineStr">
        <is>
          <t>Programador</t>
        </is>
      </c>
      <c r="G12" s="21" t="n">
        <v>27100</v>
      </c>
      <c r="H12" s="22" t="n">
        <v>44657</v>
      </c>
      <c r="I12" s="19" t="inlineStr">
        <is>
          <t>andrea.rodriguez@empresa.com</t>
        </is>
      </c>
      <c r="J12" s="23" t="inlineStr">
        <is>
          <t>Activo</t>
        </is>
      </c>
    </row>
    <row r="13">
      <c r="A13" s="24" t="n">
        <v>112</v>
      </c>
      <c r="B13" s="25" t="inlineStr">
        <is>
          <t>Ricardo Rivera Ramírez</t>
        </is>
      </c>
      <c r="C13" s="25" t="inlineStr">
        <is>
          <t>Compras</t>
        </is>
      </c>
      <c r="D13" s="25" t="inlineStr">
        <is>
          <t>Carlos Díaz</t>
        </is>
      </c>
      <c r="E13" s="26" t="inlineStr">
        <is>
          <t>555-4432</t>
        </is>
      </c>
      <c r="F13" s="25" t="inlineStr">
        <is>
          <t>Especialista de Abastecimiento</t>
        </is>
      </c>
      <c r="G13" s="27" t="n">
        <v>20100</v>
      </c>
      <c r="H13" s="28" t="n">
        <v>45846</v>
      </c>
      <c r="I13" s="25" t="inlineStr">
        <is>
          <t>ricardo.rivera@empresa.com</t>
        </is>
      </c>
      <c r="J13" s="29" t="inlineStr">
        <is>
          <t>Activo</t>
        </is>
      </c>
    </row>
    <row r="14">
      <c r="A14" s="18" t="n">
        <v>113</v>
      </c>
      <c r="B14" s="19" t="inlineStr">
        <is>
          <t>Silvia Gutiérrez Álvarez</t>
        </is>
      </c>
      <c r="C14" s="19" t="inlineStr">
        <is>
          <t>Ventas</t>
        </is>
      </c>
      <c r="D14" s="19" t="inlineStr">
        <is>
          <t>Laura Gómez</t>
        </is>
      </c>
      <c r="E14" s="20" t="inlineStr">
        <is>
          <t>555-5010</t>
        </is>
      </c>
      <c r="F14" s="19" t="inlineStr">
        <is>
          <t>Asesor Comercial</t>
        </is>
      </c>
      <c r="G14" s="21" t="n">
        <v>24300</v>
      </c>
      <c r="H14" s="22" t="n">
        <v>43770</v>
      </c>
      <c r="I14" s="19" t="inlineStr">
        <is>
          <t>silvia.gutierrez@empresa.com</t>
        </is>
      </c>
      <c r="J14" s="23" t="inlineStr">
        <is>
          <t>Activo</t>
        </is>
      </c>
    </row>
    <row r="15">
      <c r="A15" s="24" t="n">
        <v>114</v>
      </c>
      <c r="B15" s="25" t="inlineStr">
        <is>
          <t>Miguel Vargas Álvarez</t>
        </is>
      </c>
      <c r="C15" s="25" t="inlineStr">
        <is>
          <t>Marketing</t>
        </is>
      </c>
      <c r="D15" s="25" t="inlineStr">
        <is>
          <t>Sofía Castro</t>
        </is>
      </c>
      <c r="E15" s="26" t="inlineStr">
        <is>
          <t>555-6313</t>
        </is>
      </c>
      <c r="F15" s="25" t="inlineStr">
        <is>
          <t>Diseñador Gráfico</t>
        </is>
      </c>
      <c r="G15" s="27" t="n">
        <v>27400</v>
      </c>
      <c r="H15" s="28" t="n">
        <v>43330</v>
      </c>
      <c r="I15" s="25" t="inlineStr">
        <is>
          <t>miguel.vargas@empresa.com</t>
        </is>
      </c>
      <c r="J15" s="29" t="inlineStr">
        <is>
          <t>Activo</t>
        </is>
      </c>
    </row>
    <row r="16">
      <c r="A16" s="18" t="n">
        <v>115</v>
      </c>
      <c r="B16" s="19" t="inlineStr">
        <is>
          <t>Ana Chávez Sánchez</t>
        </is>
      </c>
      <c r="C16" s="19" t="inlineStr">
        <is>
          <t>Recursos Humanos</t>
        </is>
      </c>
      <c r="D16" s="19" t="inlineStr">
        <is>
          <t>Elena Pastrana</t>
        </is>
      </c>
      <c r="E16" s="20" t="inlineStr">
        <is>
          <t>555-4456</t>
        </is>
      </c>
      <c r="F16" s="19" t="inlineStr">
        <is>
          <t>Generalista de RRHH</t>
        </is>
      </c>
      <c r="G16" s="21" t="n">
        <v>16000</v>
      </c>
      <c r="H16" s="22" t="n">
        <v>45424</v>
      </c>
      <c r="I16" s="19" t="inlineStr">
        <is>
          <t>ana.chavez115@empresa.com</t>
        </is>
      </c>
      <c r="J16" s="23" t="inlineStr">
        <is>
          <t>Activo</t>
        </is>
      </c>
    </row>
    <row r="17">
      <c r="A17" s="24" t="n">
        <v>116</v>
      </c>
      <c r="B17" s="25" t="inlineStr">
        <is>
          <t>Jorge González Álvarez</t>
        </is>
      </c>
      <c r="C17" s="25" t="inlineStr">
        <is>
          <t>Recursos Humanos</t>
        </is>
      </c>
      <c r="D17" s="25" t="inlineStr">
        <is>
          <t>Elena Pastrana</t>
        </is>
      </c>
      <c r="E17" s="26" t="inlineStr">
        <is>
          <t>555-8517</t>
        </is>
      </c>
      <c r="F17" s="25" t="inlineStr">
        <is>
          <t>Gerente de RRHH</t>
        </is>
      </c>
      <c r="G17" s="27" t="n">
        <v>37600</v>
      </c>
      <c r="H17" s="28" t="n">
        <v>43686</v>
      </c>
      <c r="I17" s="25" t="inlineStr">
        <is>
          <t>jorge.gonzalez@empresa.com</t>
        </is>
      </c>
      <c r="J17" s="29" t="inlineStr">
        <is>
          <t>Activo</t>
        </is>
      </c>
    </row>
    <row r="18">
      <c r="A18" s="18" t="n">
        <v>117</v>
      </c>
      <c r="B18" s="19" t="inlineStr">
        <is>
          <t>Sofía Mendoza Jiménez</t>
        </is>
      </c>
      <c r="C18" s="19" t="inlineStr">
        <is>
          <t>Contabilidad</t>
        </is>
      </c>
      <c r="D18" s="19" t="inlineStr">
        <is>
          <t>Roberto Méndez</t>
        </is>
      </c>
      <c r="E18" s="20" t="inlineStr">
        <is>
          <t>555-7543</t>
        </is>
      </c>
      <c r="F18" s="19" t="inlineStr">
        <is>
          <t>Auditor Interno</t>
        </is>
      </c>
      <c r="G18" s="21" t="n">
        <v>30900</v>
      </c>
      <c r="H18" s="22" t="n">
        <v>44583</v>
      </c>
      <c r="I18" s="19" t="inlineStr">
        <is>
          <t>sofia.mendoza@empresa.com</t>
        </is>
      </c>
      <c r="J18" s="23" t="inlineStr">
        <is>
          <t>Activo</t>
        </is>
      </c>
    </row>
    <row r="19">
      <c r="A19" s="24" t="n">
        <v>118</v>
      </c>
      <c r="B19" s="25" t="inlineStr">
        <is>
          <t>Carlos García Morales</t>
        </is>
      </c>
      <c r="C19" s="25" t="inlineStr">
        <is>
          <t>Ventas</t>
        </is>
      </c>
      <c r="D19" s="25" t="inlineStr">
        <is>
          <t>Laura Gómez</t>
        </is>
      </c>
      <c r="E19" s="26" t="inlineStr">
        <is>
          <t>555-3504</t>
        </is>
      </c>
      <c r="F19" s="25" t="inlineStr">
        <is>
          <t>Ejecutivo de Ventas</t>
        </is>
      </c>
      <c r="G19" s="27" t="n">
        <v>17300</v>
      </c>
      <c r="H19" s="28" t="n">
        <v>45671</v>
      </c>
      <c r="I19" s="25" t="inlineStr">
        <is>
          <t>carlos.garcia@empresa.com</t>
        </is>
      </c>
      <c r="J19" s="29" t="inlineStr">
        <is>
          <t>Activo</t>
        </is>
      </c>
    </row>
    <row r="20">
      <c r="A20" s="18" t="n">
        <v>119</v>
      </c>
      <c r="B20" s="19" t="inlineStr">
        <is>
          <t>Andrea Vázquez Cruz</t>
        </is>
      </c>
      <c r="C20" s="19" t="inlineStr">
        <is>
          <t>Ventas</t>
        </is>
      </c>
      <c r="D20" s="19" t="inlineStr">
        <is>
          <t>Laura Gómez</t>
        </is>
      </c>
      <c r="E20" s="20" t="inlineStr">
        <is>
          <t>555-8668</t>
        </is>
      </c>
      <c r="F20" s="19" t="inlineStr">
        <is>
          <t>Gerente de Ventas</t>
        </is>
      </c>
      <c r="G20" s="21" t="n">
        <v>33500</v>
      </c>
      <c r="H20" s="22" t="n">
        <v>45268</v>
      </c>
      <c r="I20" s="19" t="inlineStr">
        <is>
          <t>andrea.vazquez@empresa.com</t>
        </is>
      </c>
      <c r="J20" s="23" t="inlineStr">
        <is>
          <t>Activo</t>
        </is>
      </c>
    </row>
    <row r="21">
      <c r="A21" s="24" t="n">
        <v>120</v>
      </c>
      <c r="B21" s="25" t="inlineStr">
        <is>
          <t>Isabel Medina Pérez</t>
        </is>
      </c>
      <c r="C21" s="25" t="inlineStr">
        <is>
          <t>Marketing</t>
        </is>
      </c>
      <c r="D21" s="25" t="inlineStr">
        <is>
          <t>Sofía Castro</t>
        </is>
      </c>
      <c r="E21" s="26" t="inlineStr">
        <is>
          <t>555-9797</t>
        </is>
      </c>
      <c r="F21" s="25" t="inlineStr">
        <is>
          <t>Especialista SEO</t>
        </is>
      </c>
      <c r="G21" s="27" t="n">
        <v>27400</v>
      </c>
      <c r="H21" s="28" t="n">
        <v>44193</v>
      </c>
      <c r="I21" s="25" t="inlineStr">
        <is>
          <t>isabel.medina120@empresa.com</t>
        </is>
      </c>
      <c r="J21" s="29" t="inlineStr">
        <is>
          <t>Activo</t>
        </is>
      </c>
    </row>
    <row r="22">
      <c r="A22" s="18" t="n">
        <v>121</v>
      </c>
      <c r="B22" s="19" t="inlineStr">
        <is>
          <t>Jorge Gómez Hernández</t>
        </is>
      </c>
      <c r="C22" s="19" t="inlineStr">
        <is>
          <t>Recursos Humanos</t>
        </is>
      </c>
      <c r="D22" s="19" t="inlineStr">
        <is>
          <t>Elena Pastrana</t>
        </is>
      </c>
      <c r="E22" s="20" t="inlineStr">
        <is>
          <t>555-1053</t>
        </is>
      </c>
      <c r="F22" s="19" t="inlineStr">
        <is>
          <t>Analista de Nómina</t>
        </is>
      </c>
      <c r="G22" s="21" t="n">
        <v>22300</v>
      </c>
      <c r="H22" s="22" t="n">
        <v>46058</v>
      </c>
      <c r="I22" s="19" t="inlineStr">
        <is>
          <t>jorge.gomez121@empresa.com</t>
        </is>
      </c>
      <c r="J22" s="23" t="inlineStr">
        <is>
          <t>Activo</t>
        </is>
      </c>
    </row>
    <row r="23">
      <c r="A23" s="24" t="n">
        <v>122</v>
      </c>
      <c r="B23" s="25" t="inlineStr">
        <is>
          <t>Roberto Ramos López</t>
        </is>
      </c>
      <c r="C23" s="25" t="inlineStr">
        <is>
          <t>Contabilidad</t>
        </is>
      </c>
      <c r="D23" s="25" t="inlineStr">
        <is>
          <t>Roberto Méndez</t>
        </is>
      </c>
      <c r="E23" s="26" t="inlineStr">
        <is>
          <t>555-5889</t>
        </is>
      </c>
      <c r="F23" s="25" t="inlineStr">
        <is>
          <t>Auxiliar Contable</t>
        </is>
      </c>
      <c r="G23" s="27" t="n">
        <v>18100</v>
      </c>
      <c r="H23" s="28" t="n">
        <v>45718</v>
      </c>
      <c r="I23" s="25" t="inlineStr">
        <is>
          <t>roberto.ramos@empresa.com</t>
        </is>
      </c>
      <c r="J23" s="29" t="inlineStr">
        <is>
          <t>Activo</t>
        </is>
      </c>
    </row>
    <row r="24">
      <c r="A24" s="18" t="n">
        <v>123</v>
      </c>
      <c r="B24" s="19" t="inlineStr">
        <is>
          <t>Pedro Díaz Ramírez</t>
        </is>
      </c>
      <c r="C24" s="19" t="inlineStr">
        <is>
          <t>Operaciones</t>
        </is>
      </c>
      <c r="D24" s="19" t="inlineStr">
        <is>
          <t>Alejandro Ruiz</t>
        </is>
      </c>
      <c r="E24" s="20" t="inlineStr">
        <is>
          <t>555-9689</t>
        </is>
      </c>
      <c r="F24" s="19" t="inlineStr">
        <is>
          <t>Supervisor de Planta</t>
        </is>
      </c>
      <c r="G24" s="21" t="n">
        <v>31900</v>
      </c>
      <c r="H24" s="22" t="n">
        <v>43103</v>
      </c>
      <c r="I24" s="19" t="inlineStr">
        <is>
          <t>pedro.diaz@empresa.com</t>
        </is>
      </c>
      <c r="J24" s="23" t="inlineStr">
        <is>
          <t>Activo</t>
        </is>
      </c>
    </row>
    <row r="25">
      <c r="A25" s="24" t="n">
        <v>124</v>
      </c>
      <c r="B25" s="25" t="inlineStr">
        <is>
          <t>Patricia Pérez Gómez</t>
        </is>
      </c>
      <c r="C25" s="25" t="inlineStr">
        <is>
          <t>Sistemas</t>
        </is>
      </c>
      <c r="D25" s="25" t="inlineStr">
        <is>
          <t>Miguel López</t>
        </is>
      </c>
      <c r="E25" s="26" t="inlineStr">
        <is>
          <t>555-1949</t>
        </is>
      </c>
      <c r="F25" s="25" t="inlineStr">
        <is>
          <t>Soporte Técnico</t>
        </is>
      </c>
      <c r="G25" s="27" t="n">
        <v>27300</v>
      </c>
      <c r="H25" s="28" t="n">
        <v>44087</v>
      </c>
      <c r="I25" s="25" t="inlineStr">
        <is>
          <t>patricia.perez124@empresa.com</t>
        </is>
      </c>
      <c r="J25" s="29" t="inlineStr">
        <is>
          <t>Activo</t>
        </is>
      </c>
    </row>
    <row r="26">
      <c r="A26" s="18" t="n">
        <v>125</v>
      </c>
      <c r="B26" s="19" t="inlineStr">
        <is>
          <t>Luis Torres Mendoza</t>
        </is>
      </c>
      <c r="C26" s="19" t="inlineStr">
        <is>
          <t>Recursos Humanos</t>
        </is>
      </c>
      <c r="D26" s="19" t="inlineStr">
        <is>
          <t>Elena Pastrana</t>
        </is>
      </c>
      <c r="E26" s="20" t="inlineStr">
        <is>
          <t>555-3060</t>
        </is>
      </c>
      <c r="F26" s="19" t="inlineStr">
        <is>
          <t>Auxiliar de RRHH</t>
        </is>
      </c>
      <c r="G26" s="21" t="n">
        <v>15800</v>
      </c>
      <c r="H26" s="22" t="n">
        <v>43626</v>
      </c>
      <c r="I26" s="19" t="inlineStr">
        <is>
          <t>luis.torres@empresa.com</t>
        </is>
      </c>
      <c r="J26" s="23" t="inlineStr">
        <is>
          <t>Activo</t>
        </is>
      </c>
    </row>
    <row r="27">
      <c r="A27" s="24" t="n">
        <v>126</v>
      </c>
      <c r="B27" s="25" t="inlineStr">
        <is>
          <t>Isabel López Martínez</t>
        </is>
      </c>
      <c r="C27" s="25" t="inlineStr">
        <is>
          <t>Contabilidad</t>
        </is>
      </c>
      <c r="D27" s="25" t="inlineStr">
        <is>
          <t>Roberto Méndez</t>
        </is>
      </c>
      <c r="E27" s="26" t="inlineStr">
        <is>
          <t>555-9835</t>
        </is>
      </c>
      <c r="F27" s="25" t="inlineStr">
        <is>
          <t>Gerente de Finanzas</t>
        </is>
      </c>
      <c r="G27" s="27" t="n">
        <v>41800</v>
      </c>
      <c r="H27" s="28" t="n">
        <v>46090</v>
      </c>
      <c r="I27" s="25" t="inlineStr">
        <is>
          <t>isabel.lopez@empresa.com</t>
        </is>
      </c>
      <c r="J27" s="29" t="inlineStr">
        <is>
          <t>Activo</t>
        </is>
      </c>
    </row>
    <row r="28">
      <c r="A28" s="18" t="n">
        <v>127</v>
      </c>
      <c r="B28" s="19" t="inlineStr">
        <is>
          <t>Diego Gutiérrez Álvarez</t>
        </is>
      </c>
      <c r="C28" s="19" t="inlineStr">
        <is>
          <t>Sistemas</t>
        </is>
      </c>
      <c r="D28" s="19" t="inlineStr">
        <is>
          <t>Miguel López</t>
        </is>
      </c>
      <c r="E28" s="20" t="inlineStr">
        <is>
          <t>555-8397</t>
        </is>
      </c>
      <c r="F28" s="19" t="inlineStr">
        <is>
          <t>Administrador de Redes</t>
        </is>
      </c>
      <c r="G28" s="21" t="n">
        <v>36400</v>
      </c>
      <c r="H28" s="22" t="n">
        <v>43596</v>
      </c>
      <c r="I28" s="19" t="inlineStr">
        <is>
          <t>diego.gutierrez@empresa.com</t>
        </is>
      </c>
      <c r="J28" s="23" t="inlineStr">
        <is>
          <t>Activo</t>
        </is>
      </c>
    </row>
    <row r="29">
      <c r="A29" s="24" t="n">
        <v>128</v>
      </c>
      <c r="B29" s="25" t="inlineStr">
        <is>
          <t>Luis Sánchez Pérez</t>
        </is>
      </c>
      <c r="C29" s="25" t="inlineStr">
        <is>
          <t>Contabilidad</t>
        </is>
      </c>
      <c r="D29" s="25" t="inlineStr">
        <is>
          <t>Roberto Méndez</t>
        </is>
      </c>
      <c r="E29" s="26" t="inlineStr">
        <is>
          <t>555-1117</t>
        </is>
      </c>
      <c r="F29" s="25" t="inlineStr">
        <is>
          <t>Contador</t>
        </is>
      </c>
      <c r="G29" s="27" t="n">
        <v>24100</v>
      </c>
      <c r="H29" s="28" t="n">
        <v>43391</v>
      </c>
      <c r="I29" s="25" t="inlineStr">
        <is>
          <t>luis.sanchez128@empresa.com</t>
        </is>
      </c>
      <c r="J29" s="29" t="inlineStr">
        <is>
          <t>Activo</t>
        </is>
      </c>
    </row>
    <row r="30">
      <c r="A30" s="18" t="n">
        <v>129</v>
      </c>
      <c r="B30" s="19" t="inlineStr">
        <is>
          <t>Ana Rodríguez Torres</t>
        </is>
      </c>
      <c r="C30" s="19" t="inlineStr">
        <is>
          <t>Ventas</t>
        </is>
      </c>
      <c r="D30" s="19" t="inlineStr">
        <is>
          <t>Laura Gómez</t>
        </is>
      </c>
      <c r="E30" s="20" t="inlineStr">
        <is>
          <t>555-9423</t>
        </is>
      </c>
      <c r="F30" s="19" t="inlineStr">
        <is>
          <t>Coordinador de Ventas</t>
        </is>
      </c>
      <c r="G30" s="21" t="n">
        <v>16700</v>
      </c>
      <c r="H30" s="22" t="n">
        <v>44075</v>
      </c>
      <c r="I30" s="19" t="inlineStr">
        <is>
          <t>ana.rodriguez@empresa.com</t>
        </is>
      </c>
      <c r="J30" s="23" t="inlineStr">
        <is>
          <t>Activo</t>
        </is>
      </c>
    </row>
    <row r="31">
      <c r="A31" s="24" t="n">
        <v>130</v>
      </c>
      <c r="B31" s="25" t="inlineStr">
        <is>
          <t>Patricia González Jiménez</t>
        </is>
      </c>
      <c r="C31" s="25" t="inlineStr">
        <is>
          <t>Compras</t>
        </is>
      </c>
      <c r="D31" s="25" t="inlineStr">
        <is>
          <t>Carlos Díaz</t>
        </is>
      </c>
      <c r="E31" s="26" t="inlineStr">
        <is>
          <t>555-8749</t>
        </is>
      </c>
      <c r="F31" s="25" t="inlineStr">
        <is>
          <t>Gerente de Compras</t>
        </is>
      </c>
      <c r="G31" s="27" t="n">
        <v>33900</v>
      </c>
      <c r="H31" s="28" t="n">
        <v>44768</v>
      </c>
      <c r="I31" s="25" t="inlineStr">
        <is>
          <t>patricia.gonzalez@empresa.com</t>
        </is>
      </c>
      <c r="J31" s="29" t="inlineStr">
        <is>
          <t>Activo</t>
        </is>
      </c>
    </row>
    <row r="32">
      <c r="A32" s="18" t="n">
        <v>131</v>
      </c>
      <c r="B32" s="19" t="inlineStr">
        <is>
          <t>María Gutiérrez Vázquez</t>
        </is>
      </c>
      <c r="C32" s="19" t="inlineStr">
        <is>
          <t>Sistemas</t>
        </is>
      </c>
      <c r="D32" s="19" t="inlineStr">
        <is>
          <t>Miguel López</t>
        </is>
      </c>
      <c r="E32" s="20" t="inlineStr">
        <is>
          <t>555-8651</t>
        </is>
      </c>
      <c r="F32" s="19" t="inlineStr">
        <is>
          <t>Administrador de Redes</t>
        </is>
      </c>
      <c r="G32" s="21" t="n">
        <v>32900</v>
      </c>
      <c r="H32" s="22" t="n">
        <v>46087</v>
      </c>
      <c r="I32" s="19" t="inlineStr">
        <is>
          <t>maria.gutierrez@empresa.com</t>
        </is>
      </c>
      <c r="J32" s="23" t="inlineStr">
        <is>
          <t>Activo</t>
        </is>
      </c>
    </row>
    <row r="33">
      <c r="A33" s="24" t="n">
        <v>132</v>
      </c>
      <c r="B33" s="25" t="inlineStr">
        <is>
          <t>Ricardo Gómez Ruiz</t>
        </is>
      </c>
      <c r="C33" s="25" t="inlineStr">
        <is>
          <t>Recursos Humanos</t>
        </is>
      </c>
      <c r="D33" s="25" t="inlineStr">
        <is>
          <t>Elena Pastrana</t>
        </is>
      </c>
      <c r="E33" s="26" t="inlineStr">
        <is>
          <t>555-2790</t>
        </is>
      </c>
      <c r="F33" s="25" t="inlineStr">
        <is>
          <t>Generalista de RRHH</t>
        </is>
      </c>
      <c r="G33" s="27" t="n">
        <v>28000</v>
      </c>
      <c r="H33" s="28" t="n">
        <v>44119</v>
      </c>
      <c r="I33" s="25" t="inlineStr">
        <is>
          <t>ricardo.gomez@empresa.com</t>
        </is>
      </c>
      <c r="J33" s="29" t="inlineStr">
        <is>
          <t>Activo</t>
        </is>
      </c>
    </row>
    <row r="34">
      <c r="A34" s="18" t="n">
        <v>133</v>
      </c>
      <c r="B34" s="19" t="inlineStr">
        <is>
          <t>Isabel Castillo Díaz</t>
        </is>
      </c>
      <c r="C34" s="19" t="inlineStr">
        <is>
          <t>Recursos Humanos</t>
        </is>
      </c>
      <c r="D34" s="19" t="inlineStr">
        <is>
          <t>Elena Pastrana</t>
        </is>
      </c>
      <c r="E34" s="20" t="inlineStr">
        <is>
          <t>555-8579</t>
        </is>
      </c>
      <c r="F34" s="19" t="inlineStr">
        <is>
          <t>Analista de Nómina</t>
        </is>
      </c>
      <c r="G34" s="21" t="n">
        <v>19500</v>
      </c>
      <c r="H34" s="22" t="n">
        <v>44124</v>
      </c>
      <c r="I34" s="19" t="inlineStr">
        <is>
          <t>isabel.castillo133@empresa.com</t>
        </is>
      </c>
      <c r="J34" s="23" t="inlineStr">
        <is>
          <t>Activo</t>
        </is>
      </c>
    </row>
    <row r="35">
      <c r="A35" s="24" t="n">
        <v>134</v>
      </c>
      <c r="B35" s="25" t="inlineStr">
        <is>
          <t>Luis Castillo Chávez</t>
        </is>
      </c>
      <c r="C35" s="25" t="inlineStr">
        <is>
          <t>Operaciones</t>
        </is>
      </c>
      <c r="D35" s="25" t="inlineStr">
        <is>
          <t>Alejandro Ruiz</t>
        </is>
      </c>
      <c r="E35" s="26" t="inlineStr">
        <is>
          <t>555-9856</t>
        </is>
      </c>
      <c r="F35" s="25" t="inlineStr">
        <is>
          <t>Operador de Logística</t>
        </is>
      </c>
      <c r="G35" s="27" t="n">
        <v>11400</v>
      </c>
      <c r="H35" s="28" t="n">
        <v>43161</v>
      </c>
      <c r="I35" s="25" t="inlineStr">
        <is>
          <t>luis.castillo134@empresa.com</t>
        </is>
      </c>
      <c r="J35" s="29" t="inlineStr">
        <is>
          <t>Activo</t>
        </is>
      </c>
    </row>
    <row r="36">
      <c r="A36" s="18" t="n">
        <v>135</v>
      </c>
      <c r="B36" s="19" t="inlineStr">
        <is>
          <t>Silvia Ramos Medina</t>
        </is>
      </c>
      <c r="C36" s="19" t="inlineStr">
        <is>
          <t>Compras</t>
        </is>
      </c>
      <c r="D36" s="19" t="inlineStr">
        <is>
          <t>Carlos Díaz</t>
        </is>
      </c>
      <c r="E36" s="20" t="inlineStr">
        <is>
          <t>555-8956</t>
        </is>
      </c>
      <c r="F36" s="19" t="inlineStr">
        <is>
          <t>Analista de Compras</t>
        </is>
      </c>
      <c r="G36" s="21" t="n">
        <v>20900</v>
      </c>
      <c r="H36" s="22" t="n">
        <v>45072</v>
      </c>
      <c r="I36" s="19" t="inlineStr">
        <is>
          <t>silvia.ramos@empresa.com</t>
        </is>
      </c>
      <c r="J36" s="23" t="inlineStr">
        <is>
          <t>Activo</t>
        </is>
      </c>
    </row>
    <row r="37">
      <c r="A37" s="24" t="n">
        <v>136</v>
      </c>
      <c r="B37" s="25" t="inlineStr">
        <is>
          <t>Diego Castro Ruiz</t>
        </is>
      </c>
      <c r="C37" s="25" t="inlineStr">
        <is>
          <t>Compras</t>
        </is>
      </c>
      <c r="D37" s="25" t="inlineStr">
        <is>
          <t>Carlos Díaz</t>
        </is>
      </c>
      <c r="E37" s="26" t="inlineStr">
        <is>
          <t>555-7396</t>
        </is>
      </c>
      <c r="F37" s="25" t="inlineStr">
        <is>
          <t>Gerente de Compras</t>
        </is>
      </c>
      <c r="G37" s="27" t="n">
        <v>32000</v>
      </c>
      <c r="H37" s="28" t="n">
        <v>44187</v>
      </c>
      <c r="I37" s="25" t="inlineStr">
        <is>
          <t>diego.castro136@empresa.com</t>
        </is>
      </c>
      <c r="J37" s="29" t="inlineStr">
        <is>
          <t>Activo</t>
        </is>
      </c>
    </row>
    <row r="38">
      <c r="A38" s="18" t="n">
        <v>137</v>
      </c>
      <c r="B38" s="19" t="inlineStr">
        <is>
          <t>Mónica Castillo Hernández</t>
        </is>
      </c>
      <c r="C38" s="19" t="inlineStr">
        <is>
          <t>Recursos Humanos</t>
        </is>
      </c>
      <c r="D38" s="19" t="inlineStr">
        <is>
          <t>Elena Pastrana</t>
        </is>
      </c>
      <c r="E38" s="20" t="inlineStr">
        <is>
          <t>555-4111</t>
        </is>
      </c>
      <c r="F38" s="19" t="inlineStr">
        <is>
          <t>Gerente de RRHH</t>
        </is>
      </c>
      <c r="G38" s="21" t="n">
        <v>31600</v>
      </c>
      <c r="H38" s="22" t="n">
        <v>44316</v>
      </c>
      <c r="I38" s="19" t="inlineStr">
        <is>
          <t>monica.castillo@empresa.com</t>
        </is>
      </c>
      <c r="J38" s="23" t="inlineStr">
        <is>
          <t>Activo</t>
        </is>
      </c>
    </row>
    <row r="39">
      <c r="A39" s="24" t="n">
        <v>138</v>
      </c>
      <c r="B39" s="25" t="inlineStr">
        <is>
          <t>Ana Reyes Mendoza</t>
        </is>
      </c>
      <c r="C39" s="25" t="inlineStr">
        <is>
          <t>Contabilidad</t>
        </is>
      </c>
      <c r="D39" s="25" t="inlineStr">
        <is>
          <t>Roberto Méndez</t>
        </is>
      </c>
      <c r="E39" s="26" t="inlineStr">
        <is>
          <t>555-1936</t>
        </is>
      </c>
      <c r="F39" s="25" t="inlineStr">
        <is>
          <t>Auxiliar Contable</t>
        </is>
      </c>
      <c r="G39" s="27" t="n">
        <v>15500</v>
      </c>
      <c r="H39" s="28" t="n">
        <v>43306</v>
      </c>
      <c r="I39" s="25" t="inlineStr">
        <is>
          <t>ana.reyes@empresa.com</t>
        </is>
      </c>
      <c r="J39" s="29" t="inlineStr">
        <is>
          <t>Activo</t>
        </is>
      </c>
    </row>
    <row r="40">
      <c r="A40" s="18" t="n">
        <v>139</v>
      </c>
      <c r="B40" s="19" t="inlineStr">
        <is>
          <t>Roberto Vargas Medina</t>
        </is>
      </c>
      <c r="C40" s="19" t="inlineStr">
        <is>
          <t>Contabilidad</t>
        </is>
      </c>
      <c r="D40" s="19" t="inlineStr">
        <is>
          <t>Roberto Méndez</t>
        </is>
      </c>
      <c r="E40" s="20" t="inlineStr">
        <is>
          <t>555-9320</t>
        </is>
      </c>
      <c r="F40" s="19" t="inlineStr">
        <is>
          <t>Contador</t>
        </is>
      </c>
      <c r="G40" s="21" t="n">
        <v>18700</v>
      </c>
      <c r="H40" s="22" t="n">
        <v>43429</v>
      </c>
      <c r="I40" s="19" t="inlineStr">
        <is>
          <t>roberto.vargas139@empresa.com</t>
        </is>
      </c>
      <c r="J40" s="23" t="inlineStr">
        <is>
          <t>Activo</t>
        </is>
      </c>
    </row>
    <row r="41">
      <c r="A41" s="24" t="n">
        <v>140</v>
      </c>
      <c r="B41" s="25" t="inlineStr">
        <is>
          <t>Luis Cruz Torres</t>
        </is>
      </c>
      <c r="C41" s="25" t="inlineStr">
        <is>
          <t>Marketing</t>
        </is>
      </c>
      <c r="D41" s="25" t="inlineStr">
        <is>
          <t>Sofía Castro</t>
        </is>
      </c>
      <c r="E41" s="26" t="inlineStr">
        <is>
          <t>555-2964</t>
        </is>
      </c>
      <c r="F41" s="25" t="inlineStr">
        <is>
          <t>Diseñador Gráfico</t>
        </is>
      </c>
      <c r="G41" s="27" t="n">
        <v>22800</v>
      </c>
      <c r="H41" s="28" t="n">
        <v>45434</v>
      </c>
      <c r="I41" s="25" t="inlineStr">
        <is>
          <t>luis.cruz@empresa.com</t>
        </is>
      </c>
      <c r="J41" s="29" t="inlineStr">
        <is>
          <t>Activo</t>
        </is>
      </c>
    </row>
    <row r="42">
      <c r="A42" s="18" t="n">
        <v>141</v>
      </c>
      <c r="B42" s="19" t="inlineStr">
        <is>
          <t>Gabriela Ruiz Cruz</t>
        </is>
      </c>
      <c r="C42" s="19" t="inlineStr">
        <is>
          <t>Ventas</t>
        </is>
      </c>
      <c r="D42" s="19" t="inlineStr">
        <is>
          <t>Laura Gómez</t>
        </is>
      </c>
      <c r="E42" s="20" t="inlineStr">
        <is>
          <t>555-9565</t>
        </is>
      </c>
      <c r="F42" s="19" t="inlineStr">
        <is>
          <t>Gerente de Ventas</t>
        </is>
      </c>
      <c r="G42" s="21" t="n">
        <v>35700</v>
      </c>
      <c r="H42" s="22" t="n">
        <v>44396</v>
      </c>
      <c r="I42" s="19" t="inlineStr">
        <is>
          <t>gabriela.ruiz141@empresa.com</t>
        </is>
      </c>
      <c r="J42" s="23" t="inlineStr">
        <is>
          <t>Activo</t>
        </is>
      </c>
    </row>
    <row r="43">
      <c r="A43" s="24" t="n">
        <v>142</v>
      </c>
      <c r="B43" s="25" t="inlineStr">
        <is>
          <t>Pedro Gutiérrez Ortiz</t>
        </is>
      </c>
      <c r="C43" s="25" t="inlineStr">
        <is>
          <t>Sistemas</t>
        </is>
      </c>
      <c r="D43" s="25" t="inlineStr">
        <is>
          <t>Miguel López</t>
        </is>
      </c>
      <c r="E43" s="26" t="inlineStr">
        <is>
          <t>555-7484</t>
        </is>
      </c>
      <c r="F43" s="25" t="inlineStr">
        <is>
          <t>Analista de Sistemas</t>
        </is>
      </c>
      <c r="G43" s="27" t="n">
        <v>28200</v>
      </c>
      <c r="H43" s="28" t="n">
        <v>43637</v>
      </c>
      <c r="I43" s="25" t="inlineStr">
        <is>
          <t>pedro.gutierrez@empresa.com</t>
        </is>
      </c>
      <c r="J43" s="29" t="inlineStr">
        <is>
          <t>Activo</t>
        </is>
      </c>
    </row>
    <row r="44">
      <c r="A44" s="18" t="n">
        <v>143</v>
      </c>
      <c r="B44" s="19" t="inlineStr">
        <is>
          <t>Elena Castillo Sánchez</t>
        </is>
      </c>
      <c r="C44" s="19" t="inlineStr">
        <is>
          <t>Operaciones</t>
        </is>
      </c>
      <c r="D44" s="19" t="inlineStr">
        <is>
          <t>Alejandro Ruiz</t>
        </is>
      </c>
      <c r="E44" s="20" t="inlineStr">
        <is>
          <t>555-8508</t>
        </is>
      </c>
      <c r="F44" s="19" t="inlineStr">
        <is>
          <t>Operador de Logística</t>
        </is>
      </c>
      <c r="G44" s="21" t="n">
        <v>11000</v>
      </c>
      <c r="H44" s="22" t="n">
        <v>45645</v>
      </c>
      <c r="I44" s="19" t="inlineStr">
        <is>
          <t>elena.castillo143@empresa.com</t>
        </is>
      </c>
      <c r="J44" s="23" t="inlineStr">
        <is>
          <t>Activo</t>
        </is>
      </c>
    </row>
    <row r="45">
      <c r="A45" s="24" t="n">
        <v>144</v>
      </c>
      <c r="B45" s="25" t="inlineStr">
        <is>
          <t>María Torres Jiménez</t>
        </is>
      </c>
      <c r="C45" s="25" t="inlineStr">
        <is>
          <t>Compras</t>
        </is>
      </c>
      <c r="D45" s="25" t="inlineStr">
        <is>
          <t>Carlos Díaz</t>
        </is>
      </c>
      <c r="E45" s="26" t="inlineStr">
        <is>
          <t>555-6718</t>
        </is>
      </c>
      <c r="F45" s="25" t="inlineStr">
        <is>
          <t>Especialista de Abastecimiento</t>
        </is>
      </c>
      <c r="G45" s="27" t="n">
        <v>16400</v>
      </c>
      <c r="H45" s="28" t="n">
        <v>43382</v>
      </c>
      <c r="I45" s="25" t="inlineStr">
        <is>
          <t>maria.torres144@empresa.com</t>
        </is>
      </c>
      <c r="J45" s="29" t="inlineStr">
        <is>
          <t>Activo</t>
        </is>
      </c>
    </row>
    <row r="46">
      <c r="A46" s="18" t="n">
        <v>145</v>
      </c>
      <c r="B46" s="19" t="inlineStr">
        <is>
          <t>Lucía Hernández López</t>
        </is>
      </c>
      <c r="C46" s="19" t="inlineStr">
        <is>
          <t>Recursos Humanos</t>
        </is>
      </c>
      <c r="D46" s="19" t="inlineStr">
        <is>
          <t>Elena Pastrana</t>
        </is>
      </c>
      <c r="E46" s="20" t="inlineStr">
        <is>
          <t>555-9666</t>
        </is>
      </c>
      <c r="F46" s="19" t="inlineStr">
        <is>
          <t>Generalista de RRHH</t>
        </is>
      </c>
      <c r="G46" s="21" t="n">
        <v>24900</v>
      </c>
      <c r="H46" s="22" t="n">
        <v>43133</v>
      </c>
      <c r="I46" s="19" t="inlineStr">
        <is>
          <t>lucia.hernandez@empresa.com</t>
        </is>
      </c>
      <c r="J46" s="23" t="inlineStr">
        <is>
          <t>Activo</t>
        </is>
      </c>
    </row>
    <row r="47">
      <c r="A47" s="24" t="n">
        <v>146</v>
      </c>
      <c r="B47" s="25" t="inlineStr">
        <is>
          <t>Isabel Hernández Vargas</t>
        </is>
      </c>
      <c r="C47" s="25" t="inlineStr">
        <is>
          <t>Marketing</t>
        </is>
      </c>
      <c r="D47" s="25" t="inlineStr">
        <is>
          <t>Sofía Castro</t>
        </is>
      </c>
      <c r="E47" s="26" t="inlineStr">
        <is>
          <t>555-3200</t>
        </is>
      </c>
      <c r="F47" s="25" t="inlineStr">
        <is>
          <t>Especialista SEO</t>
        </is>
      </c>
      <c r="G47" s="27" t="n">
        <v>30600</v>
      </c>
      <c r="H47" s="28" t="n">
        <v>44184</v>
      </c>
      <c r="I47" s="25" t="inlineStr">
        <is>
          <t>isabel.hernandez@empresa.com</t>
        </is>
      </c>
      <c r="J47" s="29" t="inlineStr">
        <is>
          <t>Activo</t>
        </is>
      </c>
    </row>
    <row r="48">
      <c r="A48" s="18" t="n">
        <v>147</v>
      </c>
      <c r="B48" s="19" t="inlineStr">
        <is>
          <t>María Mendoza Jiménez</t>
        </is>
      </c>
      <c r="C48" s="19" t="inlineStr">
        <is>
          <t>Compras</t>
        </is>
      </c>
      <c r="D48" s="19" t="inlineStr">
        <is>
          <t>Carlos Díaz</t>
        </is>
      </c>
      <c r="E48" s="20" t="inlineStr">
        <is>
          <t>555-4450</t>
        </is>
      </c>
      <c r="F48" s="19" t="inlineStr">
        <is>
          <t>Especialista de Abastecimiento</t>
        </is>
      </c>
      <c r="G48" s="21" t="n">
        <v>18900</v>
      </c>
      <c r="H48" s="22" t="n">
        <v>46040</v>
      </c>
      <c r="I48" s="19" t="inlineStr">
        <is>
          <t>maria.mendoza@empresa.com</t>
        </is>
      </c>
      <c r="J48" s="23" t="inlineStr">
        <is>
          <t>Activo</t>
        </is>
      </c>
    </row>
    <row r="49">
      <c r="A49" s="24" t="n">
        <v>148</v>
      </c>
      <c r="B49" s="25" t="inlineStr">
        <is>
          <t>Beatriz Martínez García</t>
        </is>
      </c>
      <c r="C49" s="25" t="inlineStr">
        <is>
          <t>Recursos Humanos</t>
        </is>
      </c>
      <c r="D49" s="25" t="inlineStr">
        <is>
          <t>Elena Pastrana</t>
        </is>
      </c>
      <c r="E49" s="26" t="inlineStr">
        <is>
          <t>555-2512</t>
        </is>
      </c>
      <c r="F49" s="25" t="inlineStr">
        <is>
          <t>Generalista de RRHH</t>
        </is>
      </c>
      <c r="G49" s="27" t="n">
        <v>15700</v>
      </c>
      <c r="H49" s="28" t="n">
        <v>45699</v>
      </c>
      <c r="I49" s="25" t="inlineStr">
        <is>
          <t>beatriz.martinez@empresa.com</t>
        </is>
      </c>
      <c r="J49" s="29" t="inlineStr">
        <is>
          <t>Activo</t>
        </is>
      </c>
    </row>
    <row r="50">
      <c r="A50" s="18" t="n">
        <v>149</v>
      </c>
      <c r="B50" s="19" t="inlineStr">
        <is>
          <t>Miguel Ruiz Pérez</t>
        </is>
      </c>
      <c r="C50" s="19" t="inlineStr">
        <is>
          <t>Sistemas</t>
        </is>
      </c>
      <c r="D50" s="19" t="inlineStr">
        <is>
          <t>Miguel López</t>
        </is>
      </c>
      <c r="E50" s="20" t="inlineStr">
        <is>
          <t>555-5291</t>
        </is>
      </c>
      <c r="F50" s="19" t="inlineStr">
        <is>
          <t>Analista de Sistemas</t>
        </is>
      </c>
      <c r="G50" s="21" t="n">
        <v>40300</v>
      </c>
      <c r="H50" s="22" t="n">
        <v>43762</v>
      </c>
      <c r="I50" s="19" t="inlineStr">
        <is>
          <t>miguel.ruiz149@empresa.com</t>
        </is>
      </c>
      <c r="J50" s="23" t="inlineStr">
        <is>
          <t>Activo</t>
        </is>
      </c>
    </row>
    <row r="51">
      <c r="A51" s="24" t="n">
        <v>150</v>
      </c>
      <c r="B51" s="25" t="inlineStr">
        <is>
          <t>Isabel Ortiz Vázquez</t>
        </is>
      </c>
      <c r="C51" s="25" t="inlineStr">
        <is>
          <t>Contabilidad</t>
        </is>
      </c>
      <c r="D51" s="25" t="inlineStr">
        <is>
          <t>Roberto Méndez</t>
        </is>
      </c>
      <c r="E51" s="26" t="inlineStr">
        <is>
          <t>555-2232</t>
        </is>
      </c>
      <c r="F51" s="25" t="inlineStr">
        <is>
          <t>Auxiliar Contable</t>
        </is>
      </c>
      <c r="G51" s="27" t="n">
        <v>13900</v>
      </c>
      <c r="H51" s="28" t="n">
        <v>45931</v>
      </c>
      <c r="I51" s="25" t="inlineStr">
        <is>
          <t>isabel.ortiz150@empresa.com</t>
        </is>
      </c>
      <c r="J51" s="29" t="inlineStr">
        <is>
          <t>Activo</t>
        </is>
      </c>
    </row>
    <row r="52">
      <c r="A52" s="18" t="n">
        <v>151</v>
      </c>
      <c r="B52" s="19" t="inlineStr">
        <is>
          <t>Isabel Ruiz Rivera</t>
        </is>
      </c>
      <c r="C52" s="19" t="inlineStr">
        <is>
          <t>Sistemas</t>
        </is>
      </c>
      <c r="D52" s="19" t="inlineStr">
        <is>
          <t>Miguel López</t>
        </is>
      </c>
      <c r="E52" s="20" t="inlineStr">
        <is>
          <t>555-3426</t>
        </is>
      </c>
      <c r="F52" s="19" t="inlineStr">
        <is>
          <t>Gerente de TI</t>
        </is>
      </c>
      <c r="G52" s="21" t="n">
        <v>53000</v>
      </c>
      <c r="H52" s="22" t="n">
        <v>44861</v>
      </c>
      <c r="I52" s="19" t="inlineStr">
        <is>
          <t>isabel.ruiz@empresa.com</t>
        </is>
      </c>
      <c r="J52" s="23" t="inlineStr">
        <is>
          <t>Activo</t>
        </is>
      </c>
    </row>
    <row r="53">
      <c r="A53" s="24" t="n">
        <v>152</v>
      </c>
      <c r="B53" s="25" t="inlineStr">
        <is>
          <t>Elena Ramírez Castro</t>
        </is>
      </c>
      <c r="C53" s="25" t="inlineStr">
        <is>
          <t>Operaciones</t>
        </is>
      </c>
      <c r="D53" s="25" t="inlineStr">
        <is>
          <t>Alejandro Ruiz</t>
        </is>
      </c>
      <c r="E53" s="26" t="inlineStr">
        <is>
          <t>555-4441</t>
        </is>
      </c>
      <c r="F53" s="25" t="inlineStr">
        <is>
          <t>Operador de Logística</t>
        </is>
      </c>
      <c r="G53" s="27" t="n">
        <v>13900</v>
      </c>
      <c r="H53" s="28" t="n">
        <v>45894</v>
      </c>
      <c r="I53" s="25" t="inlineStr">
        <is>
          <t>elena.ramirez@empresa.com</t>
        </is>
      </c>
      <c r="J53" s="29" t="inlineStr">
        <is>
          <t>Activo</t>
        </is>
      </c>
    </row>
    <row r="54">
      <c r="A54" s="18" t="n">
        <v>153</v>
      </c>
      <c r="B54" s="19" t="inlineStr">
        <is>
          <t>María Ramírez Ramos</t>
        </is>
      </c>
      <c r="C54" s="19" t="inlineStr">
        <is>
          <t>Contabilidad</t>
        </is>
      </c>
      <c r="D54" s="19" t="inlineStr">
        <is>
          <t>Roberto Méndez</t>
        </is>
      </c>
      <c r="E54" s="20" t="inlineStr">
        <is>
          <t>555-4878</t>
        </is>
      </c>
      <c r="F54" s="19" t="inlineStr">
        <is>
          <t>Gerente de Finanzas</t>
        </is>
      </c>
      <c r="G54" s="21" t="n">
        <v>40900</v>
      </c>
      <c r="H54" s="22" t="n">
        <v>43766</v>
      </c>
      <c r="I54" s="19" t="inlineStr">
        <is>
          <t>maria.ramirez153@empresa.com</t>
        </is>
      </c>
      <c r="J54" s="23" t="inlineStr">
        <is>
          <t>Activo</t>
        </is>
      </c>
    </row>
    <row r="55">
      <c r="A55" s="24" t="n">
        <v>154</v>
      </c>
      <c r="B55" s="25" t="inlineStr">
        <is>
          <t>Mónica López Castro</t>
        </is>
      </c>
      <c r="C55" s="25" t="inlineStr">
        <is>
          <t>Recursos Humanos</t>
        </is>
      </c>
      <c r="D55" s="25" t="inlineStr">
        <is>
          <t>Elena Pastrana</t>
        </is>
      </c>
      <c r="E55" s="26" t="inlineStr">
        <is>
          <t>555-6442</t>
        </is>
      </c>
      <c r="F55" s="25" t="inlineStr">
        <is>
          <t>Auxiliar de RRHH</t>
        </is>
      </c>
      <c r="G55" s="27" t="n">
        <v>12900</v>
      </c>
      <c r="H55" s="28" t="n">
        <v>44787</v>
      </c>
      <c r="I55" s="25" t="inlineStr">
        <is>
          <t>monica.lopez154@empresa.com</t>
        </is>
      </c>
      <c r="J55" s="29" t="inlineStr">
        <is>
          <t>Activo</t>
        </is>
      </c>
    </row>
    <row r="56">
      <c r="A56" s="18" t="n">
        <v>155</v>
      </c>
      <c r="B56" s="19" t="inlineStr">
        <is>
          <t>Beatriz Mendoza Chávez</t>
        </is>
      </c>
      <c r="C56" s="19" t="inlineStr">
        <is>
          <t>Compras</t>
        </is>
      </c>
      <c r="D56" s="19" t="inlineStr">
        <is>
          <t>Carlos Díaz</t>
        </is>
      </c>
      <c r="E56" s="20" t="inlineStr">
        <is>
          <t>555-2771</t>
        </is>
      </c>
      <c r="F56" s="19" t="inlineStr">
        <is>
          <t>Especialista de Abastecimiento</t>
        </is>
      </c>
      <c r="G56" s="21" t="n">
        <v>16900</v>
      </c>
      <c r="H56" s="22" t="n">
        <v>44667</v>
      </c>
      <c r="I56" s="19" t="inlineStr">
        <is>
          <t>beatriz.mendoza155@empresa.com</t>
        </is>
      </c>
      <c r="J56" s="23" t="inlineStr">
        <is>
          <t>Activo</t>
        </is>
      </c>
    </row>
    <row r="57">
      <c r="A57" s="24" t="n">
        <v>156</v>
      </c>
      <c r="B57" s="25" t="inlineStr">
        <is>
          <t>Beatriz Morales Rodríguez</t>
        </is>
      </c>
      <c r="C57" s="25" t="inlineStr">
        <is>
          <t>Compras</t>
        </is>
      </c>
      <c r="D57" s="25" t="inlineStr">
        <is>
          <t>Carlos Díaz</t>
        </is>
      </c>
      <c r="E57" s="26" t="inlineStr">
        <is>
          <t>555-6000</t>
        </is>
      </c>
      <c r="F57" s="25" t="inlineStr">
        <is>
          <t>Gerente de Compras</t>
        </is>
      </c>
      <c r="G57" s="27" t="n">
        <v>34800</v>
      </c>
      <c r="H57" s="28" t="n">
        <v>44033</v>
      </c>
      <c r="I57" s="25" t="inlineStr">
        <is>
          <t>beatriz.morales@empresa.com</t>
        </is>
      </c>
      <c r="J57" s="29" t="inlineStr">
        <is>
          <t>Activo</t>
        </is>
      </c>
    </row>
    <row r="58">
      <c r="A58" s="18" t="n">
        <v>157</v>
      </c>
      <c r="B58" s="19" t="inlineStr">
        <is>
          <t>Andrea González Flores</t>
        </is>
      </c>
      <c r="C58" s="19" t="inlineStr">
        <is>
          <t>Sistemas</t>
        </is>
      </c>
      <c r="D58" s="19" t="inlineStr">
        <is>
          <t>Miguel López</t>
        </is>
      </c>
      <c r="E58" s="20" t="inlineStr">
        <is>
          <t>555-5573</t>
        </is>
      </c>
      <c r="F58" s="19" t="inlineStr">
        <is>
          <t>Soporte Técnico</t>
        </is>
      </c>
      <c r="G58" s="21" t="n">
        <v>21700</v>
      </c>
      <c r="H58" s="22" t="n">
        <v>44539</v>
      </c>
      <c r="I58" s="19" t="inlineStr">
        <is>
          <t>andrea.gonzalez@empresa.com</t>
        </is>
      </c>
      <c r="J58" s="23" t="inlineStr">
        <is>
          <t>Activo</t>
        </is>
      </c>
    </row>
    <row r="59">
      <c r="A59" s="24" t="n">
        <v>158</v>
      </c>
      <c r="B59" s="25" t="inlineStr">
        <is>
          <t>Diego Gutiérrez Rivera</t>
        </is>
      </c>
      <c r="C59" s="25" t="inlineStr">
        <is>
          <t>Contabilidad</t>
        </is>
      </c>
      <c r="D59" s="25" t="inlineStr">
        <is>
          <t>Roberto Méndez</t>
        </is>
      </c>
      <c r="E59" s="26" t="inlineStr">
        <is>
          <t>555-2889</t>
        </is>
      </c>
      <c r="F59" s="25" t="inlineStr">
        <is>
          <t>Auditor Interno</t>
        </is>
      </c>
      <c r="G59" s="27" t="n">
        <v>17800</v>
      </c>
      <c r="H59" s="28" t="n">
        <v>44170</v>
      </c>
      <c r="I59" s="25" t="inlineStr">
        <is>
          <t>diego.gutierrez@empresa.com</t>
        </is>
      </c>
      <c r="J59" s="29" t="inlineStr">
        <is>
          <t>Activo</t>
        </is>
      </c>
    </row>
    <row r="60">
      <c r="A60" s="18" t="n">
        <v>159</v>
      </c>
      <c r="B60" s="19" t="inlineStr">
        <is>
          <t>Miguel Ruiz Gómez</t>
        </is>
      </c>
      <c r="C60" s="19" t="inlineStr">
        <is>
          <t>Contabilidad</t>
        </is>
      </c>
      <c r="D60" s="19" t="inlineStr">
        <is>
          <t>Roberto Méndez</t>
        </is>
      </c>
      <c r="E60" s="20" t="inlineStr">
        <is>
          <t>555-6139</t>
        </is>
      </c>
      <c r="F60" s="19" t="inlineStr">
        <is>
          <t>Gerente de Finanzas</t>
        </is>
      </c>
      <c r="G60" s="21" t="n">
        <v>44000</v>
      </c>
      <c r="H60" s="22" t="n">
        <v>44888</v>
      </c>
      <c r="I60" s="19" t="inlineStr">
        <is>
          <t>miguel.ruiz@empresa.com</t>
        </is>
      </c>
      <c r="J60" s="23" t="inlineStr">
        <is>
          <t>Activo</t>
        </is>
      </c>
    </row>
    <row r="61">
      <c r="A61" s="24" t="n">
        <v>160</v>
      </c>
      <c r="B61" s="25" t="inlineStr">
        <is>
          <t>Roberto Gómez Flores</t>
        </is>
      </c>
      <c r="C61" s="25" t="inlineStr">
        <is>
          <t>Contabilidad</t>
        </is>
      </c>
      <c r="D61" s="25" t="inlineStr">
        <is>
          <t>Roberto Méndez</t>
        </is>
      </c>
      <c r="E61" s="26" t="inlineStr">
        <is>
          <t>555-1727</t>
        </is>
      </c>
      <c r="F61" s="25" t="inlineStr">
        <is>
          <t>Contador</t>
        </is>
      </c>
      <c r="G61" s="27" t="n">
        <v>25200</v>
      </c>
      <c r="H61" s="28" t="n">
        <v>46004</v>
      </c>
      <c r="I61" s="25" t="inlineStr">
        <is>
          <t>roberto.gomez@empresa.com</t>
        </is>
      </c>
      <c r="J61" s="29" t="inlineStr">
        <is>
          <t>Activo</t>
        </is>
      </c>
    </row>
    <row r="62">
      <c r="A62" s="18" t="n">
        <v>161</v>
      </c>
      <c r="B62" s="19" t="inlineStr">
        <is>
          <t>Roberto Vargas Chávez</t>
        </is>
      </c>
      <c r="C62" s="19" t="inlineStr">
        <is>
          <t>Contabilidad</t>
        </is>
      </c>
      <c r="D62" s="19" t="inlineStr">
        <is>
          <t>Roberto Méndez</t>
        </is>
      </c>
      <c r="E62" s="20" t="inlineStr">
        <is>
          <t>555-8066</t>
        </is>
      </c>
      <c r="F62" s="19" t="inlineStr">
        <is>
          <t>Contador</t>
        </is>
      </c>
      <c r="G62" s="21" t="n">
        <v>28800</v>
      </c>
      <c r="H62" s="22" t="n">
        <v>43387</v>
      </c>
      <c r="I62" s="19" t="inlineStr">
        <is>
          <t>roberto.vargas161@empresa.com</t>
        </is>
      </c>
      <c r="J62" s="23" t="inlineStr">
        <is>
          <t>Activo</t>
        </is>
      </c>
    </row>
    <row r="63">
      <c r="A63" s="24" t="n">
        <v>162</v>
      </c>
      <c r="B63" s="25" t="inlineStr">
        <is>
          <t>Silvia Sánchez Cruz</t>
        </is>
      </c>
      <c r="C63" s="25" t="inlineStr">
        <is>
          <t>Sistemas</t>
        </is>
      </c>
      <c r="D63" s="25" t="inlineStr">
        <is>
          <t>Miguel López</t>
        </is>
      </c>
      <c r="E63" s="26" t="inlineStr">
        <is>
          <t>555-9308</t>
        </is>
      </c>
      <c r="F63" s="25" t="inlineStr">
        <is>
          <t>Programador</t>
        </is>
      </c>
      <c r="G63" s="27" t="n">
        <v>29300</v>
      </c>
      <c r="H63" s="28" t="n">
        <v>44367</v>
      </c>
      <c r="I63" s="25" t="inlineStr">
        <is>
          <t>silvia.sanchez@empresa.com</t>
        </is>
      </c>
      <c r="J63" s="29" t="inlineStr">
        <is>
          <t>Activo</t>
        </is>
      </c>
    </row>
    <row r="64">
      <c r="A64" s="18" t="n">
        <v>163</v>
      </c>
      <c r="B64" s="19" t="inlineStr">
        <is>
          <t>Jorge Flores Ortiz</t>
        </is>
      </c>
      <c r="C64" s="19" t="inlineStr">
        <is>
          <t>Sistemas</t>
        </is>
      </c>
      <c r="D64" s="19" t="inlineStr">
        <is>
          <t>Miguel López</t>
        </is>
      </c>
      <c r="E64" s="20" t="inlineStr">
        <is>
          <t>555-4143</t>
        </is>
      </c>
      <c r="F64" s="19" t="inlineStr">
        <is>
          <t>Gerente de TI</t>
        </is>
      </c>
      <c r="G64" s="21" t="n">
        <v>46000</v>
      </c>
      <c r="H64" s="22" t="n">
        <v>44823</v>
      </c>
      <c r="I64" s="19" t="inlineStr">
        <is>
          <t>jorge.flores@empresa.com</t>
        </is>
      </c>
      <c r="J64" s="23" t="inlineStr">
        <is>
          <t>Activo</t>
        </is>
      </c>
    </row>
    <row r="65">
      <c r="A65" s="24" t="n">
        <v>164</v>
      </c>
      <c r="B65" s="25" t="inlineStr">
        <is>
          <t>Diego Gutiérrez Mendoza</t>
        </is>
      </c>
      <c r="C65" s="25" t="inlineStr">
        <is>
          <t>Compras</t>
        </is>
      </c>
      <c r="D65" s="25" t="inlineStr">
        <is>
          <t>Carlos Díaz</t>
        </is>
      </c>
      <c r="E65" s="26" t="inlineStr">
        <is>
          <t>555-9977</t>
        </is>
      </c>
      <c r="F65" s="25" t="inlineStr">
        <is>
          <t>Especialista de Abastecimiento</t>
        </is>
      </c>
      <c r="G65" s="27" t="n">
        <v>20900</v>
      </c>
      <c r="H65" s="28" t="n">
        <v>43102</v>
      </c>
      <c r="I65" s="25" t="inlineStr">
        <is>
          <t>diego.gutierrez@empresa.com</t>
        </is>
      </c>
      <c r="J65" s="29" t="inlineStr">
        <is>
          <t>Activo</t>
        </is>
      </c>
    </row>
    <row r="66">
      <c r="A66" s="18" t="n">
        <v>165</v>
      </c>
      <c r="B66" s="19" t="inlineStr">
        <is>
          <t>Pedro Vázquez Chávez</t>
        </is>
      </c>
      <c r="C66" s="19" t="inlineStr">
        <is>
          <t>Contabilidad</t>
        </is>
      </c>
      <c r="D66" s="19" t="inlineStr">
        <is>
          <t>Roberto Méndez</t>
        </is>
      </c>
      <c r="E66" s="20" t="inlineStr">
        <is>
          <t>555-8238</t>
        </is>
      </c>
      <c r="F66" s="19" t="inlineStr">
        <is>
          <t>Auditor Interno</t>
        </is>
      </c>
      <c r="G66" s="21" t="n">
        <v>32100</v>
      </c>
      <c r="H66" s="22" t="n">
        <v>44912</v>
      </c>
      <c r="I66" s="19" t="inlineStr">
        <is>
          <t>pedro.vazquez@empresa.com</t>
        </is>
      </c>
      <c r="J66" s="23" t="inlineStr">
        <is>
          <t>Activo</t>
        </is>
      </c>
    </row>
    <row r="67">
      <c r="A67" s="24" t="n">
        <v>166</v>
      </c>
      <c r="B67" s="25" t="inlineStr">
        <is>
          <t>Roberto Morales Chávez</t>
        </is>
      </c>
      <c r="C67" s="25" t="inlineStr">
        <is>
          <t>Operaciones</t>
        </is>
      </c>
      <c r="D67" s="25" t="inlineStr">
        <is>
          <t>Alejandro Ruiz</t>
        </is>
      </c>
      <c r="E67" s="26" t="inlineStr">
        <is>
          <t>555-5649</t>
        </is>
      </c>
      <c r="F67" s="25" t="inlineStr">
        <is>
          <t>Supervisor de Planta</t>
        </is>
      </c>
      <c r="G67" s="27" t="n">
        <v>17000</v>
      </c>
      <c r="H67" s="28" t="n">
        <v>45212</v>
      </c>
      <c r="I67" s="25" t="inlineStr">
        <is>
          <t>roberto.morales@empresa.com</t>
        </is>
      </c>
      <c r="J67" s="29" t="inlineStr">
        <is>
          <t>Activo</t>
        </is>
      </c>
    </row>
    <row r="68">
      <c r="A68" s="18" t="n">
        <v>167</v>
      </c>
      <c r="B68" s="19" t="inlineStr">
        <is>
          <t>Gabriela Sánchez Torres</t>
        </is>
      </c>
      <c r="C68" s="19" t="inlineStr">
        <is>
          <t>Operaciones</t>
        </is>
      </c>
      <c r="D68" s="19" t="inlineStr">
        <is>
          <t>Alejandro Ruiz</t>
        </is>
      </c>
      <c r="E68" s="20" t="inlineStr">
        <is>
          <t>555-4680</t>
        </is>
      </c>
      <c r="F68" s="19" t="inlineStr">
        <is>
          <t>Supervisor de Planta</t>
        </is>
      </c>
      <c r="G68" s="21" t="n">
        <v>24400</v>
      </c>
      <c r="H68" s="22" t="n">
        <v>43916</v>
      </c>
      <c r="I68" s="19" t="inlineStr">
        <is>
          <t>gabriela.sanchez@empresa.com</t>
        </is>
      </c>
      <c r="J68" s="23" t="inlineStr">
        <is>
          <t>Activo</t>
        </is>
      </c>
    </row>
    <row r="69">
      <c r="A69" s="24" t="n">
        <v>168</v>
      </c>
      <c r="B69" s="25" t="inlineStr">
        <is>
          <t>Ana Rodríguez Morales</t>
        </is>
      </c>
      <c r="C69" s="25" t="inlineStr">
        <is>
          <t>Contabilidad</t>
        </is>
      </c>
      <c r="D69" s="25" t="inlineStr">
        <is>
          <t>Roberto Méndez</t>
        </is>
      </c>
      <c r="E69" s="26" t="inlineStr">
        <is>
          <t>555-7790</t>
        </is>
      </c>
      <c r="F69" s="25" t="inlineStr">
        <is>
          <t>Auxiliar Contable</t>
        </is>
      </c>
      <c r="G69" s="27" t="n">
        <v>16700</v>
      </c>
      <c r="H69" s="28" t="n">
        <v>45680</v>
      </c>
      <c r="I69" s="25" t="inlineStr">
        <is>
          <t>ana.rodriguez@empresa.com</t>
        </is>
      </c>
      <c r="J69" s="29" t="inlineStr">
        <is>
          <t>Activo</t>
        </is>
      </c>
    </row>
    <row r="70">
      <c r="A70" s="18" t="n">
        <v>169</v>
      </c>
      <c r="B70" s="19" t="inlineStr">
        <is>
          <t>Fernando Ortiz Flores</t>
        </is>
      </c>
      <c r="C70" s="19" t="inlineStr">
        <is>
          <t>Recursos Humanos</t>
        </is>
      </c>
      <c r="D70" s="19" t="inlineStr">
        <is>
          <t>Elena Pastrana</t>
        </is>
      </c>
      <c r="E70" s="20" t="inlineStr">
        <is>
          <t>555-3417</t>
        </is>
      </c>
      <c r="F70" s="19" t="inlineStr">
        <is>
          <t>Gerente de RRHH</t>
        </is>
      </c>
      <c r="G70" s="21" t="n">
        <v>32300</v>
      </c>
      <c r="H70" s="22" t="n">
        <v>45788</v>
      </c>
      <c r="I70" s="19" t="inlineStr">
        <is>
          <t>fernando.ortiz@empresa.com</t>
        </is>
      </c>
      <c r="J70" s="23" t="inlineStr">
        <is>
          <t>Activo</t>
        </is>
      </c>
    </row>
    <row r="71">
      <c r="A71" s="24" t="n">
        <v>170</v>
      </c>
      <c r="B71" s="25" t="inlineStr">
        <is>
          <t>Raúl Ramos Medina</t>
        </is>
      </c>
      <c r="C71" s="25" t="inlineStr">
        <is>
          <t>Operaciones</t>
        </is>
      </c>
      <c r="D71" s="25" t="inlineStr">
        <is>
          <t>Alejandro Ruiz</t>
        </is>
      </c>
      <c r="E71" s="26" t="inlineStr">
        <is>
          <t>555-4585</t>
        </is>
      </c>
      <c r="F71" s="25" t="inlineStr">
        <is>
          <t>Operador de Logística</t>
        </is>
      </c>
      <c r="G71" s="27" t="n">
        <v>14400</v>
      </c>
      <c r="H71" s="28" t="n">
        <v>43821</v>
      </c>
      <c r="I71" s="25" t="inlineStr">
        <is>
          <t>raul.ramos170@empresa.com</t>
        </is>
      </c>
      <c r="J71" s="29" t="inlineStr">
        <is>
          <t>Activo</t>
        </is>
      </c>
    </row>
    <row r="72">
      <c r="A72" s="18" t="n">
        <v>171</v>
      </c>
      <c r="B72" s="19" t="inlineStr">
        <is>
          <t>Fernando García Castillo</t>
        </is>
      </c>
      <c r="C72" s="19" t="inlineStr">
        <is>
          <t>Ventas</t>
        </is>
      </c>
      <c r="D72" s="19" t="inlineStr">
        <is>
          <t>Laura Gómez</t>
        </is>
      </c>
      <c r="E72" s="20" t="inlineStr">
        <is>
          <t>555-8478</t>
        </is>
      </c>
      <c r="F72" s="19" t="inlineStr">
        <is>
          <t>Asesor Comercial</t>
        </is>
      </c>
      <c r="G72" s="21" t="n">
        <v>17500</v>
      </c>
      <c r="H72" s="22" t="n">
        <v>43647</v>
      </c>
      <c r="I72" s="19" t="inlineStr">
        <is>
          <t>fernando.garcia171@empresa.com</t>
        </is>
      </c>
      <c r="J72" s="23" t="inlineStr">
        <is>
          <t>Activo</t>
        </is>
      </c>
    </row>
    <row r="73">
      <c r="A73" s="24" t="n">
        <v>172</v>
      </c>
      <c r="B73" s="25" t="inlineStr">
        <is>
          <t>Andrea García Jiménez</t>
        </is>
      </c>
      <c r="C73" s="25" t="inlineStr">
        <is>
          <t>Contabilidad</t>
        </is>
      </c>
      <c r="D73" s="25" t="inlineStr">
        <is>
          <t>Roberto Méndez</t>
        </is>
      </c>
      <c r="E73" s="26" t="inlineStr">
        <is>
          <t>555-9270</t>
        </is>
      </c>
      <c r="F73" s="25" t="inlineStr">
        <is>
          <t>Auditor Interno</t>
        </is>
      </c>
      <c r="G73" s="27" t="n">
        <v>31400</v>
      </c>
      <c r="H73" s="28" t="n">
        <v>44848</v>
      </c>
      <c r="I73" s="25" t="inlineStr">
        <is>
          <t>andrea.garcia172@empresa.com</t>
        </is>
      </c>
      <c r="J73" s="29" t="inlineStr">
        <is>
          <t>Activo</t>
        </is>
      </c>
    </row>
    <row r="74">
      <c r="A74" s="18" t="n">
        <v>173</v>
      </c>
      <c r="B74" s="19" t="inlineStr">
        <is>
          <t>Isabel Castillo Castro</t>
        </is>
      </c>
      <c r="C74" s="19" t="inlineStr">
        <is>
          <t>Compras</t>
        </is>
      </c>
      <c r="D74" s="19" t="inlineStr">
        <is>
          <t>Carlos Díaz</t>
        </is>
      </c>
      <c r="E74" s="20" t="inlineStr">
        <is>
          <t>555-5246</t>
        </is>
      </c>
      <c r="F74" s="19" t="inlineStr">
        <is>
          <t>Gerente de Compras</t>
        </is>
      </c>
      <c r="G74" s="21" t="n">
        <v>35600</v>
      </c>
      <c r="H74" s="22" t="n">
        <v>44113</v>
      </c>
      <c r="I74" s="19" t="inlineStr">
        <is>
          <t>isabel.castillo173@empresa.com</t>
        </is>
      </c>
      <c r="J74" s="23" t="inlineStr">
        <is>
          <t>Activo</t>
        </is>
      </c>
    </row>
    <row r="75">
      <c r="A75" s="24" t="n">
        <v>174</v>
      </c>
      <c r="B75" s="25" t="inlineStr">
        <is>
          <t>Miguel Ramos Ramos</t>
        </is>
      </c>
      <c r="C75" s="25" t="inlineStr">
        <is>
          <t>Contabilidad</t>
        </is>
      </c>
      <c r="D75" s="25" t="inlineStr">
        <is>
          <t>Roberto Méndez</t>
        </is>
      </c>
      <c r="E75" s="26" t="inlineStr">
        <is>
          <t>555-5499</t>
        </is>
      </c>
      <c r="F75" s="25" t="inlineStr">
        <is>
          <t>Gerente de Finanzas</t>
        </is>
      </c>
      <c r="G75" s="27" t="n">
        <v>42300</v>
      </c>
      <c r="H75" s="28" t="n">
        <v>44902</v>
      </c>
      <c r="I75" s="25" t="inlineStr">
        <is>
          <t>miguel.ramos@empresa.com</t>
        </is>
      </c>
      <c r="J75" s="29" t="inlineStr">
        <is>
          <t>Activo</t>
        </is>
      </c>
    </row>
    <row r="76">
      <c r="A76" s="18" t="n">
        <v>175</v>
      </c>
      <c r="B76" s="19" t="inlineStr">
        <is>
          <t>Elena Rodríguez Martínez</t>
        </is>
      </c>
      <c r="C76" s="19" t="inlineStr">
        <is>
          <t>Sistemas</t>
        </is>
      </c>
      <c r="D76" s="19" t="inlineStr">
        <is>
          <t>Miguel López</t>
        </is>
      </c>
      <c r="E76" s="20" t="inlineStr">
        <is>
          <t>555-2320</t>
        </is>
      </c>
      <c r="F76" s="19" t="inlineStr">
        <is>
          <t>Soporte Técnico</t>
        </is>
      </c>
      <c r="G76" s="21" t="n">
        <v>37100</v>
      </c>
      <c r="H76" s="22" t="n">
        <v>43667</v>
      </c>
      <c r="I76" s="19" t="inlineStr">
        <is>
          <t>elena.rodriguez@empresa.com</t>
        </is>
      </c>
      <c r="J76" s="23" t="inlineStr">
        <is>
          <t>Activo</t>
        </is>
      </c>
    </row>
    <row r="77">
      <c r="A77" s="24" t="n">
        <v>176</v>
      </c>
      <c r="B77" s="25" t="inlineStr">
        <is>
          <t>Diego Ortiz Díaz</t>
        </is>
      </c>
      <c r="C77" s="25" t="inlineStr">
        <is>
          <t>Marketing</t>
        </is>
      </c>
      <c r="D77" s="25" t="inlineStr">
        <is>
          <t>Sofía Castro</t>
        </is>
      </c>
      <c r="E77" s="26" t="inlineStr">
        <is>
          <t>555-7797</t>
        </is>
      </c>
      <c r="F77" s="25" t="inlineStr">
        <is>
          <t>Diseñador Gráfico</t>
        </is>
      </c>
      <c r="G77" s="27" t="n">
        <v>17300</v>
      </c>
      <c r="H77" s="28" t="n">
        <v>44770</v>
      </c>
      <c r="I77" s="25" t="inlineStr">
        <is>
          <t>diego.ortiz@empresa.com</t>
        </is>
      </c>
      <c r="J77" s="29" t="inlineStr">
        <is>
          <t>Activo</t>
        </is>
      </c>
    </row>
    <row r="78">
      <c r="A78" s="18" t="n">
        <v>177</v>
      </c>
      <c r="B78" s="19" t="inlineStr">
        <is>
          <t>Alejandro Vázquez Ruiz</t>
        </is>
      </c>
      <c r="C78" s="19" t="inlineStr">
        <is>
          <t>Compras</t>
        </is>
      </c>
      <c r="D78" s="19" t="inlineStr">
        <is>
          <t>Carlos Díaz</t>
        </is>
      </c>
      <c r="E78" s="20" t="inlineStr">
        <is>
          <t>555-1320</t>
        </is>
      </c>
      <c r="F78" s="19" t="inlineStr">
        <is>
          <t>Gerente de Compras</t>
        </is>
      </c>
      <c r="G78" s="21" t="n">
        <v>35100</v>
      </c>
      <c r="H78" s="22" t="n">
        <v>45459</v>
      </c>
      <c r="I78" s="19" t="inlineStr">
        <is>
          <t>alejandro.vazquez@empresa.com</t>
        </is>
      </c>
      <c r="J78" s="23" t="inlineStr">
        <is>
          <t>Activo</t>
        </is>
      </c>
    </row>
    <row r="79">
      <c r="A79" s="24" t="n">
        <v>178</v>
      </c>
      <c r="B79" s="25" t="inlineStr">
        <is>
          <t>Juan Ramírez Hernández</t>
        </is>
      </c>
      <c r="C79" s="25" t="inlineStr">
        <is>
          <t>Operaciones</t>
        </is>
      </c>
      <c r="D79" s="25" t="inlineStr">
        <is>
          <t>Alejandro Ruiz</t>
        </is>
      </c>
      <c r="E79" s="26" t="inlineStr">
        <is>
          <t>555-9818</t>
        </is>
      </c>
      <c r="F79" s="25" t="inlineStr">
        <is>
          <t>Gerente de Operaciones</t>
        </is>
      </c>
      <c r="G79" s="27" t="n">
        <v>42800</v>
      </c>
      <c r="H79" s="28" t="n">
        <v>46110</v>
      </c>
      <c r="I79" s="25" t="inlineStr">
        <is>
          <t>juan.ramirez@empresa.com</t>
        </is>
      </c>
      <c r="J79" s="29" t="inlineStr">
        <is>
          <t>Activo</t>
        </is>
      </c>
    </row>
    <row r="80">
      <c r="A80" s="18" t="n">
        <v>179</v>
      </c>
      <c r="B80" s="19" t="inlineStr">
        <is>
          <t>Sofía Morales Rodríguez</t>
        </is>
      </c>
      <c r="C80" s="19" t="inlineStr">
        <is>
          <t>Sistemas</t>
        </is>
      </c>
      <c r="D80" s="19" t="inlineStr">
        <is>
          <t>Miguel López</t>
        </is>
      </c>
      <c r="E80" s="20" t="inlineStr">
        <is>
          <t>555-1475</t>
        </is>
      </c>
      <c r="F80" s="19" t="inlineStr">
        <is>
          <t>Administrador de Redes</t>
        </is>
      </c>
      <c r="G80" s="21" t="n">
        <v>35400</v>
      </c>
      <c r="H80" s="22" t="n">
        <v>44693</v>
      </c>
      <c r="I80" s="19" t="inlineStr">
        <is>
          <t>sofia.morales@empresa.com</t>
        </is>
      </c>
      <c r="J80" s="23" t="inlineStr">
        <is>
          <t>Activo</t>
        </is>
      </c>
    </row>
    <row r="81">
      <c r="A81" s="24" t="n">
        <v>180</v>
      </c>
      <c r="B81" s="25" t="inlineStr">
        <is>
          <t>Andrea Chávez Flores</t>
        </is>
      </c>
      <c r="C81" s="25" t="inlineStr">
        <is>
          <t>Marketing</t>
        </is>
      </c>
      <c r="D81" s="25" t="inlineStr">
        <is>
          <t>Sofía Castro</t>
        </is>
      </c>
      <c r="E81" s="26" t="inlineStr">
        <is>
          <t>555-8657</t>
        </is>
      </c>
      <c r="F81" s="25" t="inlineStr">
        <is>
          <t>Diseñador Gráfico</t>
        </is>
      </c>
      <c r="G81" s="27" t="n">
        <v>30000</v>
      </c>
      <c r="H81" s="28" t="n">
        <v>43623</v>
      </c>
      <c r="I81" s="25" t="inlineStr">
        <is>
          <t>andrea.chavez180@empresa.com</t>
        </is>
      </c>
      <c r="J81" s="29" t="inlineStr">
        <is>
          <t>Activo</t>
        </is>
      </c>
    </row>
    <row r="82">
      <c r="A82" s="18" t="n">
        <v>181</v>
      </c>
      <c r="B82" s="19" t="inlineStr">
        <is>
          <t>Isabel Pérez Vargas</t>
        </is>
      </c>
      <c r="C82" s="19" t="inlineStr">
        <is>
          <t>Recursos Humanos</t>
        </is>
      </c>
      <c r="D82" s="19" t="inlineStr">
        <is>
          <t>Elena Pastrana</t>
        </is>
      </c>
      <c r="E82" s="20" t="inlineStr">
        <is>
          <t>555-8022</t>
        </is>
      </c>
      <c r="F82" s="19" t="inlineStr">
        <is>
          <t>Auxiliar de RRHH</t>
        </is>
      </c>
      <c r="G82" s="21" t="n">
        <v>12100</v>
      </c>
      <c r="H82" s="22" t="n">
        <v>43656</v>
      </c>
      <c r="I82" s="19" t="inlineStr">
        <is>
          <t>isabel.perez181@empresa.com</t>
        </is>
      </c>
      <c r="J82" s="23" t="inlineStr">
        <is>
          <t>Activo</t>
        </is>
      </c>
    </row>
    <row r="83">
      <c r="A83" s="24" t="n">
        <v>182</v>
      </c>
      <c r="B83" s="25" t="inlineStr">
        <is>
          <t>Laura Ruiz Martínez</t>
        </is>
      </c>
      <c r="C83" s="25" t="inlineStr">
        <is>
          <t>Recursos Humanos</t>
        </is>
      </c>
      <c r="D83" s="25" t="inlineStr">
        <is>
          <t>Elena Pastrana</t>
        </is>
      </c>
      <c r="E83" s="26" t="inlineStr">
        <is>
          <t>555-8449</t>
        </is>
      </c>
      <c r="F83" s="25" t="inlineStr">
        <is>
          <t>Generalista de RRHH</t>
        </is>
      </c>
      <c r="G83" s="27" t="n">
        <v>18400</v>
      </c>
      <c r="H83" s="28" t="n">
        <v>44439</v>
      </c>
      <c r="I83" s="25" t="inlineStr">
        <is>
          <t>laura.ruiz@empresa.com</t>
        </is>
      </c>
      <c r="J83" s="29" t="inlineStr">
        <is>
          <t>Activo</t>
        </is>
      </c>
    </row>
    <row r="84">
      <c r="A84" s="18" t="n">
        <v>183</v>
      </c>
      <c r="B84" s="19" t="inlineStr">
        <is>
          <t>Raúl Flores Martínez</t>
        </is>
      </c>
      <c r="C84" s="19" t="inlineStr">
        <is>
          <t>Operaciones</t>
        </is>
      </c>
      <c r="D84" s="19" t="inlineStr">
        <is>
          <t>Alejandro Ruiz</t>
        </is>
      </c>
      <c r="E84" s="20" t="inlineStr">
        <is>
          <t>555-2341</t>
        </is>
      </c>
      <c r="F84" s="19" t="inlineStr">
        <is>
          <t>Gerente de Operaciones</t>
        </is>
      </c>
      <c r="G84" s="21" t="n">
        <v>40100</v>
      </c>
      <c r="H84" s="22" t="n">
        <v>45027</v>
      </c>
      <c r="I84" s="19" t="inlineStr">
        <is>
          <t>raul.flores@empresa.com</t>
        </is>
      </c>
      <c r="J84" s="23" t="inlineStr">
        <is>
          <t>Activo</t>
        </is>
      </c>
    </row>
    <row r="85">
      <c r="A85" s="24" t="n">
        <v>184</v>
      </c>
      <c r="B85" s="25" t="inlineStr">
        <is>
          <t>Isabel Ruiz Ramírez</t>
        </is>
      </c>
      <c r="C85" s="25" t="inlineStr">
        <is>
          <t>Compras</t>
        </is>
      </c>
      <c r="D85" s="25" t="inlineStr">
        <is>
          <t>Carlos Díaz</t>
        </is>
      </c>
      <c r="E85" s="26" t="inlineStr">
        <is>
          <t>555-1508</t>
        </is>
      </c>
      <c r="F85" s="25" t="inlineStr">
        <is>
          <t>Auxiliar de Compras</t>
        </is>
      </c>
      <c r="G85" s="27" t="n">
        <v>11300</v>
      </c>
      <c r="H85" s="28" t="n">
        <v>44113</v>
      </c>
      <c r="I85" s="25" t="inlineStr">
        <is>
          <t>isabel.ruiz@empresa.com</t>
        </is>
      </c>
      <c r="J85" s="29" t="inlineStr">
        <is>
          <t>Activo</t>
        </is>
      </c>
    </row>
    <row r="86">
      <c r="A86" s="18" t="n">
        <v>185</v>
      </c>
      <c r="B86" s="19" t="inlineStr">
        <is>
          <t>Juan Cruz Díaz</t>
        </is>
      </c>
      <c r="C86" s="19" t="inlineStr">
        <is>
          <t>Compras</t>
        </is>
      </c>
      <c r="D86" s="19" t="inlineStr">
        <is>
          <t>Carlos Díaz</t>
        </is>
      </c>
      <c r="E86" s="20" t="inlineStr">
        <is>
          <t>555-2874</t>
        </is>
      </c>
      <c r="F86" s="19" t="inlineStr">
        <is>
          <t>Analista de Compras</t>
        </is>
      </c>
      <c r="G86" s="21" t="n">
        <v>22000</v>
      </c>
      <c r="H86" s="22" t="n">
        <v>45411</v>
      </c>
      <c r="I86" s="19" t="inlineStr">
        <is>
          <t>juan.cruz185@empresa.com</t>
        </is>
      </c>
      <c r="J86" s="23" t="inlineStr">
        <is>
          <t>Activo</t>
        </is>
      </c>
    </row>
    <row r="87">
      <c r="A87" s="24" t="n">
        <v>186</v>
      </c>
      <c r="B87" s="25" t="inlineStr">
        <is>
          <t>Alejandro Ortiz Martínez</t>
        </is>
      </c>
      <c r="C87" s="25" t="inlineStr">
        <is>
          <t>Operaciones</t>
        </is>
      </c>
      <c r="D87" s="25" t="inlineStr">
        <is>
          <t>Alejandro Ruiz</t>
        </is>
      </c>
      <c r="E87" s="26" t="inlineStr">
        <is>
          <t>555-2876</t>
        </is>
      </c>
      <c r="F87" s="25" t="inlineStr">
        <is>
          <t>Coordinador de Operaciones</t>
        </is>
      </c>
      <c r="G87" s="27" t="n">
        <v>19700</v>
      </c>
      <c r="H87" s="28" t="n">
        <v>43771</v>
      </c>
      <c r="I87" s="25" t="inlineStr">
        <is>
          <t>alejandro.ortiz186@empresa.com</t>
        </is>
      </c>
      <c r="J87" s="29" t="inlineStr">
        <is>
          <t>Activo</t>
        </is>
      </c>
    </row>
    <row r="88">
      <c r="A88" s="18" t="n">
        <v>187</v>
      </c>
      <c r="B88" s="19" t="inlineStr">
        <is>
          <t>María Reyes Pérez</t>
        </is>
      </c>
      <c r="C88" s="19" t="inlineStr">
        <is>
          <t>Sistemas</t>
        </is>
      </c>
      <c r="D88" s="19" t="inlineStr">
        <is>
          <t>Miguel López</t>
        </is>
      </c>
      <c r="E88" s="20" t="inlineStr">
        <is>
          <t>555-7498</t>
        </is>
      </c>
      <c r="F88" s="19" t="inlineStr">
        <is>
          <t>Gerente de TI</t>
        </is>
      </c>
      <c r="G88" s="21" t="n">
        <v>50100</v>
      </c>
      <c r="H88" s="22" t="n">
        <v>46029</v>
      </c>
      <c r="I88" s="19" t="inlineStr">
        <is>
          <t>maria.reyes@empresa.com</t>
        </is>
      </c>
      <c r="J88" s="23" t="inlineStr">
        <is>
          <t>Activo</t>
        </is>
      </c>
    </row>
    <row r="89">
      <c r="A89" s="24" t="n">
        <v>188</v>
      </c>
      <c r="B89" s="25" t="inlineStr">
        <is>
          <t>Manuel Álvarez Rodríguez</t>
        </is>
      </c>
      <c r="C89" s="25" t="inlineStr">
        <is>
          <t>Ventas</t>
        </is>
      </c>
      <c r="D89" s="25" t="inlineStr">
        <is>
          <t>Laura Gómez</t>
        </is>
      </c>
      <c r="E89" s="26" t="inlineStr">
        <is>
          <t>555-2983</t>
        </is>
      </c>
      <c r="F89" s="25" t="inlineStr">
        <is>
          <t>Coordinador de Ventas</t>
        </is>
      </c>
      <c r="G89" s="27" t="n">
        <v>26800</v>
      </c>
      <c r="H89" s="28" t="n">
        <v>45419</v>
      </c>
      <c r="I89" s="25" t="inlineStr">
        <is>
          <t>manuel.alvarez188@empresa.com</t>
        </is>
      </c>
      <c r="J89" s="29" t="inlineStr">
        <is>
          <t>Activo</t>
        </is>
      </c>
    </row>
    <row r="90">
      <c r="A90" s="18" t="n">
        <v>189</v>
      </c>
      <c r="B90" s="19" t="inlineStr">
        <is>
          <t>Lucía Jiménez Vázquez</t>
        </is>
      </c>
      <c r="C90" s="19" t="inlineStr">
        <is>
          <t>Marketing</t>
        </is>
      </c>
      <c r="D90" s="19" t="inlineStr">
        <is>
          <t>Sofía Castro</t>
        </is>
      </c>
      <c r="E90" s="20" t="inlineStr">
        <is>
          <t>555-9289</t>
        </is>
      </c>
      <c r="F90" s="19" t="inlineStr">
        <is>
          <t>Coordinador de Marketing</t>
        </is>
      </c>
      <c r="G90" s="21" t="n">
        <v>17300</v>
      </c>
      <c r="H90" s="22" t="n">
        <v>45753</v>
      </c>
      <c r="I90" s="19" t="inlineStr">
        <is>
          <t>lucia.jimenez@empresa.com</t>
        </is>
      </c>
      <c r="J90" s="23" t="inlineStr">
        <is>
          <t>Activo</t>
        </is>
      </c>
    </row>
    <row r="91">
      <c r="A91" s="24" t="n">
        <v>190</v>
      </c>
      <c r="B91" s="25" t="inlineStr">
        <is>
          <t>Beatriz Vázquez Rivera</t>
        </is>
      </c>
      <c r="C91" s="25" t="inlineStr">
        <is>
          <t>Recursos Humanos</t>
        </is>
      </c>
      <c r="D91" s="25" t="inlineStr">
        <is>
          <t>Elena Pastrana</t>
        </is>
      </c>
      <c r="E91" s="26" t="inlineStr">
        <is>
          <t>555-6934</t>
        </is>
      </c>
      <c r="F91" s="25" t="inlineStr">
        <is>
          <t>Auxiliar de RRHH</t>
        </is>
      </c>
      <c r="G91" s="27" t="n">
        <v>15000</v>
      </c>
      <c r="H91" s="28" t="n">
        <v>45704</v>
      </c>
      <c r="I91" s="25" t="inlineStr">
        <is>
          <t>beatriz.vazquez190@empresa.com</t>
        </is>
      </c>
      <c r="J91" s="29" t="inlineStr">
        <is>
          <t>Activo</t>
        </is>
      </c>
    </row>
    <row r="92">
      <c r="A92" s="18" t="n">
        <v>191</v>
      </c>
      <c r="B92" s="19" t="inlineStr">
        <is>
          <t>Alejandro Ortiz Díaz</t>
        </is>
      </c>
      <c r="C92" s="19" t="inlineStr">
        <is>
          <t>Recursos Humanos</t>
        </is>
      </c>
      <c r="D92" s="19" t="inlineStr">
        <is>
          <t>Elena Pastrana</t>
        </is>
      </c>
      <c r="E92" s="20" t="inlineStr">
        <is>
          <t>555-9548</t>
        </is>
      </c>
      <c r="F92" s="19" t="inlineStr">
        <is>
          <t>Analista de Nómina</t>
        </is>
      </c>
      <c r="G92" s="21" t="n">
        <v>26900</v>
      </c>
      <c r="H92" s="22" t="n">
        <v>45765</v>
      </c>
      <c r="I92" s="19" t="inlineStr">
        <is>
          <t>alejandro.ortiz@empresa.com</t>
        </is>
      </c>
      <c r="J92" s="23" t="inlineStr">
        <is>
          <t>Activo</t>
        </is>
      </c>
    </row>
    <row r="93">
      <c r="A93" s="24" t="n">
        <v>192</v>
      </c>
      <c r="B93" s="25" t="inlineStr">
        <is>
          <t>Mónica Vargas Jiménez</t>
        </is>
      </c>
      <c r="C93" s="25" t="inlineStr">
        <is>
          <t>Operaciones</t>
        </is>
      </c>
      <c r="D93" s="25" t="inlineStr">
        <is>
          <t>Alejandro Ruiz</t>
        </is>
      </c>
      <c r="E93" s="26" t="inlineStr">
        <is>
          <t>555-8136</t>
        </is>
      </c>
      <c r="F93" s="25" t="inlineStr">
        <is>
          <t>Gerente de Operaciones</t>
        </is>
      </c>
      <c r="G93" s="27" t="n">
        <v>43600</v>
      </c>
      <c r="H93" s="28" t="n">
        <v>46095</v>
      </c>
      <c r="I93" s="25" t="inlineStr">
        <is>
          <t>monica.vargas@empresa.com</t>
        </is>
      </c>
      <c r="J93" s="29" t="inlineStr">
        <is>
          <t>Activo</t>
        </is>
      </c>
    </row>
    <row r="94">
      <c r="A94" s="18" t="n">
        <v>193</v>
      </c>
      <c r="B94" s="19" t="inlineStr">
        <is>
          <t>Sofía Rivera Vargas</t>
        </is>
      </c>
      <c r="C94" s="19" t="inlineStr">
        <is>
          <t>Ventas</t>
        </is>
      </c>
      <c r="D94" s="19" t="inlineStr">
        <is>
          <t>Laura Gómez</t>
        </is>
      </c>
      <c r="E94" s="20" t="inlineStr">
        <is>
          <t>555-4995</t>
        </is>
      </c>
      <c r="F94" s="19" t="inlineStr">
        <is>
          <t>Coordinador de Ventas</t>
        </is>
      </c>
      <c r="G94" s="21" t="n">
        <v>22900</v>
      </c>
      <c r="H94" s="22" t="n">
        <v>45004</v>
      </c>
      <c r="I94" s="19" t="inlineStr">
        <is>
          <t>sofia.rivera@empresa.com</t>
        </is>
      </c>
      <c r="J94" s="23" t="inlineStr">
        <is>
          <t>Activo</t>
        </is>
      </c>
    </row>
    <row r="95">
      <c r="A95" s="24" t="n">
        <v>194</v>
      </c>
      <c r="B95" s="25" t="inlineStr">
        <is>
          <t>Andrea Flores Sánchez</t>
        </is>
      </c>
      <c r="C95" s="25" t="inlineStr">
        <is>
          <t>Ventas</t>
        </is>
      </c>
      <c r="D95" s="25" t="inlineStr">
        <is>
          <t>Laura Gómez</t>
        </is>
      </c>
      <c r="E95" s="26" t="inlineStr">
        <is>
          <t>555-6325</t>
        </is>
      </c>
      <c r="F95" s="25" t="inlineStr">
        <is>
          <t>Gerente de Ventas</t>
        </is>
      </c>
      <c r="G95" s="27" t="n">
        <v>37300</v>
      </c>
      <c r="H95" s="28" t="n">
        <v>43845</v>
      </c>
      <c r="I95" s="25" t="inlineStr">
        <is>
          <t>andrea.flores@empresa.com</t>
        </is>
      </c>
      <c r="J95" s="29" t="inlineStr">
        <is>
          <t>Activo</t>
        </is>
      </c>
    </row>
    <row r="96">
      <c r="A96" s="18" t="n">
        <v>195</v>
      </c>
      <c r="B96" s="19" t="inlineStr">
        <is>
          <t>Lucía Chávez Martínez</t>
        </is>
      </c>
      <c r="C96" s="19" t="inlineStr">
        <is>
          <t>Sistemas</t>
        </is>
      </c>
      <c r="D96" s="19" t="inlineStr">
        <is>
          <t>Miguel López</t>
        </is>
      </c>
      <c r="E96" s="20" t="inlineStr">
        <is>
          <t>555-5526</t>
        </is>
      </c>
      <c r="F96" s="19" t="inlineStr">
        <is>
          <t>Soporte Técnico</t>
        </is>
      </c>
      <c r="G96" s="21" t="n">
        <v>39000</v>
      </c>
      <c r="H96" s="22" t="n">
        <v>45377</v>
      </c>
      <c r="I96" s="19" t="inlineStr">
        <is>
          <t>lucia.chavez@empresa.com</t>
        </is>
      </c>
      <c r="J96" s="23" t="inlineStr">
        <is>
          <t>Activo</t>
        </is>
      </c>
    </row>
    <row r="97">
      <c r="A97" s="24" t="n">
        <v>196</v>
      </c>
      <c r="B97" s="25" t="inlineStr">
        <is>
          <t>Pedro Torres Rodríguez</t>
        </is>
      </c>
      <c r="C97" s="25" t="inlineStr">
        <is>
          <t>Marketing</t>
        </is>
      </c>
      <c r="D97" s="25" t="inlineStr">
        <is>
          <t>Sofía Castro</t>
        </is>
      </c>
      <c r="E97" s="26" t="inlineStr">
        <is>
          <t>555-4937</t>
        </is>
      </c>
      <c r="F97" s="25" t="inlineStr">
        <is>
          <t>Gerente de Marca</t>
        </is>
      </c>
      <c r="G97" s="27" t="n">
        <v>40800</v>
      </c>
      <c r="H97" s="28" t="n">
        <v>45929</v>
      </c>
      <c r="I97" s="25" t="inlineStr">
        <is>
          <t>pedro.torres@empresa.com</t>
        </is>
      </c>
      <c r="J97" s="29" t="inlineStr">
        <is>
          <t>Activo</t>
        </is>
      </c>
    </row>
    <row r="98">
      <c r="A98" s="18" t="n">
        <v>197</v>
      </c>
      <c r="B98" s="19" t="inlineStr">
        <is>
          <t>Fernando Morales Castillo</t>
        </is>
      </c>
      <c r="C98" s="19" t="inlineStr">
        <is>
          <t>Operaciones</t>
        </is>
      </c>
      <c r="D98" s="19" t="inlineStr">
        <is>
          <t>Alejandro Ruiz</t>
        </is>
      </c>
      <c r="E98" s="20" t="inlineStr">
        <is>
          <t>555-5820</t>
        </is>
      </c>
      <c r="F98" s="19" t="inlineStr">
        <is>
          <t>Operador de Logística</t>
        </is>
      </c>
      <c r="G98" s="21" t="n">
        <v>11700</v>
      </c>
      <c r="H98" s="22" t="n">
        <v>44008</v>
      </c>
      <c r="I98" s="19" t="inlineStr">
        <is>
          <t>fernando.morales@empresa.com</t>
        </is>
      </c>
      <c r="J98" s="23" t="inlineStr">
        <is>
          <t>Activo</t>
        </is>
      </c>
    </row>
    <row r="99">
      <c r="A99" s="24" t="n">
        <v>198</v>
      </c>
      <c r="B99" s="25" t="inlineStr">
        <is>
          <t>Sofía Hernández Gutiérrez</t>
        </is>
      </c>
      <c r="C99" s="25" t="inlineStr">
        <is>
          <t>Contabilidad</t>
        </is>
      </c>
      <c r="D99" s="25" t="inlineStr">
        <is>
          <t>Roberto Méndez</t>
        </is>
      </c>
      <c r="E99" s="26" t="inlineStr">
        <is>
          <t>555-9698</t>
        </is>
      </c>
      <c r="F99" s="25" t="inlineStr">
        <is>
          <t>Auditor Interno</t>
        </is>
      </c>
      <c r="G99" s="27" t="n">
        <v>32400</v>
      </c>
      <c r="H99" s="28" t="n">
        <v>44509</v>
      </c>
      <c r="I99" s="25" t="inlineStr">
        <is>
          <t>sofia.hernandez@empresa.com</t>
        </is>
      </c>
      <c r="J99" s="29" t="inlineStr">
        <is>
          <t>Activo</t>
        </is>
      </c>
    </row>
    <row r="100">
      <c r="A100" s="18" t="n">
        <v>199</v>
      </c>
      <c r="B100" s="19" t="inlineStr">
        <is>
          <t>Claudia Jiménez Sánchez</t>
        </is>
      </c>
      <c r="C100" s="19" t="inlineStr">
        <is>
          <t>Sistemas</t>
        </is>
      </c>
      <c r="D100" s="19" t="inlineStr">
        <is>
          <t>Miguel López</t>
        </is>
      </c>
      <c r="E100" s="20" t="inlineStr">
        <is>
          <t>555-6023</t>
        </is>
      </c>
      <c r="F100" s="19" t="inlineStr">
        <is>
          <t>Administrador de Redes</t>
        </is>
      </c>
      <c r="G100" s="21" t="n">
        <v>28300</v>
      </c>
      <c r="H100" s="22" t="n">
        <v>44130</v>
      </c>
      <c r="I100" s="19" t="inlineStr">
        <is>
          <t>claudia.jimenez@empresa.com</t>
        </is>
      </c>
      <c r="J100" s="23" t="inlineStr">
        <is>
          <t>Activo</t>
        </is>
      </c>
    </row>
    <row r="101">
      <c r="A101" s="24" t="n">
        <v>200</v>
      </c>
      <c r="B101" s="25" t="inlineStr">
        <is>
          <t>Claudia González Sánchez</t>
        </is>
      </c>
      <c r="C101" s="25" t="inlineStr">
        <is>
          <t>Ventas</t>
        </is>
      </c>
      <c r="D101" s="25" t="inlineStr">
        <is>
          <t>Laura Gómez</t>
        </is>
      </c>
      <c r="E101" s="26" t="inlineStr">
        <is>
          <t>555-4545</t>
        </is>
      </c>
      <c r="F101" s="25" t="inlineStr">
        <is>
          <t>Asesor Comercial</t>
        </is>
      </c>
      <c r="G101" s="27" t="n">
        <v>18700</v>
      </c>
      <c r="H101" s="28" t="n">
        <v>46126</v>
      </c>
      <c r="I101" s="25" t="inlineStr">
        <is>
          <t>claudia.gonzalez@empresa.com</t>
        </is>
      </c>
      <c r="J101" s="29" t="inlineStr">
        <is>
          <t>Activo</t>
        </is>
      </c>
    </row>
    <row r="102">
      <c r="A102" s="18" t="n">
        <v>201</v>
      </c>
      <c r="B102" s="19" t="inlineStr">
        <is>
          <t>Javier García Cruz</t>
        </is>
      </c>
      <c r="C102" s="19" t="inlineStr">
        <is>
          <t>Sistemas</t>
        </is>
      </c>
      <c r="D102" s="19" t="inlineStr">
        <is>
          <t>Miguel López</t>
        </is>
      </c>
      <c r="E102" s="20" t="inlineStr">
        <is>
          <t>555-5853</t>
        </is>
      </c>
      <c r="F102" s="19" t="inlineStr">
        <is>
          <t>Programador</t>
        </is>
      </c>
      <c r="G102" s="21" t="n">
        <v>25800</v>
      </c>
      <c r="H102" s="22" t="n">
        <v>44032</v>
      </c>
      <c r="I102" s="19" t="inlineStr">
        <is>
          <t>javier.garcia@empresa.com</t>
        </is>
      </c>
      <c r="J102" s="23" t="inlineStr">
        <is>
          <t>Activo</t>
        </is>
      </c>
    </row>
    <row r="103">
      <c r="A103" s="24" t="n">
        <v>202</v>
      </c>
      <c r="B103" s="25" t="inlineStr">
        <is>
          <t>Elena Pérez Ortiz</t>
        </is>
      </c>
      <c r="C103" s="25" t="inlineStr">
        <is>
          <t>Contabilidad</t>
        </is>
      </c>
      <c r="D103" s="25" t="inlineStr">
        <is>
          <t>Roberto Méndez</t>
        </is>
      </c>
      <c r="E103" s="26" t="inlineStr">
        <is>
          <t>555-1745</t>
        </is>
      </c>
      <c r="F103" s="25" t="inlineStr">
        <is>
          <t>Contador</t>
        </is>
      </c>
      <c r="G103" s="27" t="n">
        <v>25800</v>
      </c>
      <c r="H103" s="28" t="n">
        <v>43324</v>
      </c>
      <c r="I103" s="25" t="inlineStr">
        <is>
          <t>elena.perez@empresa.com</t>
        </is>
      </c>
      <c r="J103" s="29" t="inlineStr">
        <is>
          <t>Activo</t>
        </is>
      </c>
    </row>
    <row r="104">
      <c r="A104" s="18" t="n">
        <v>203</v>
      </c>
      <c r="B104" s="19" t="inlineStr">
        <is>
          <t>Fernando Díaz Álvarez</t>
        </is>
      </c>
      <c r="C104" s="19" t="inlineStr">
        <is>
          <t>Operaciones</t>
        </is>
      </c>
      <c r="D104" s="19" t="inlineStr">
        <is>
          <t>Alejandro Ruiz</t>
        </is>
      </c>
      <c r="E104" s="20" t="inlineStr">
        <is>
          <t>555-1200</t>
        </is>
      </c>
      <c r="F104" s="19" t="inlineStr">
        <is>
          <t>Gerente de Operaciones</t>
        </is>
      </c>
      <c r="G104" s="21" t="n">
        <v>37600</v>
      </c>
      <c r="H104" s="22" t="n">
        <v>45452</v>
      </c>
      <c r="I104" s="19" t="inlineStr">
        <is>
          <t>fernando.diaz@empresa.com</t>
        </is>
      </c>
      <c r="J104" s="23" t="inlineStr">
        <is>
          <t>Activo</t>
        </is>
      </c>
    </row>
    <row r="105">
      <c r="A105" s="24" t="n">
        <v>204</v>
      </c>
      <c r="B105" s="25" t="inlineStr">
        <is>
          <t>Patricia Castillo Sánchez</t>
        </is>
      </c>
      <c r="C105" s="25" t="inlineStr">
        <is>
          <t>Compras</t>
        </is>
      </c>
      <c r="D105" s="25" t="inlineStr">
        <is>
          <t>Carlos Díaz</t>
        </is>
      </c>
      <c r="E105" s="26" t="inlineStr">
        <is>
          <t>555-8827</t>
        </is>
      </c>
      <c r="F105" s="25" t="inlineStr">
        <is>
          <t>Auxiliar de Compras</t>
        </is>
      </c>
      <c r="G105" s="27" t="n">
        <v>13000</v>
      </c>
      <c r="H105" s="28" t="n">
        <v>43568</v>
      </c>
      <c r="I105" s="25" t="inlineStr">
        <is>
          <t>patricia.castillo204@empresa.com</t>
        </is>
      </c>
      <c r="J105" s="29" t="inlineStr">
        <is>
          <t>Activo</t>
        </is>
      </c>
    </row>
    <row r="106">
      <c r="A106" s="18" t="n">
        <v>205</v>
      </c>
      <c r="B106" s="19" t="inlineStr">
        <is>
          <t>Diego Morales Torres</t>
        </is>
      </c>
      <c r="C106" s="19" t="inlineStr">
        <is>
          <t>Contabilidad</t>
        </is>
      </c>
      <c r="D106" s="19" t="inlineStr">
        <is>
          <t>Roberto Méndez</t>
        </is>
      </c>
      <c r="E106" s="20" t="inlineStr">
        <is>
          <t>555-3444</t>
        </is>
      </c>
      <c r="F106" s="19" t="inlineStr">
        <is>
          <t>Auxiliar Contable</t>
        </is>
      </c>
      <c r="G106" s="21" t="n">
        <v>14200</v>
      </c>
      <c r="H106" s="22" t="n">
        <v>45406</v>
      </c>
      <c r="I106" s="19" t="inlineStr">
        <is>
          <t>diego.morales205@empresa.com</t>
        </is>
      </c>
      <c r="J106" s="23" t="inlineStr">
        <is>
          <t>Activo</t>
        </is>
      </c>
    </row>
    <row r="107">
      <c r="A107" s="24" t="n">
        <v>206</v>
      </c>
      <c r="B107" s="25" t="inlineStr">
        <is>
          <t>Luis Rodríguez Gómez</t>
        </is>
      </c>
      <c r="C107" s="25" t="inlineStr">
        <is>
          <t>Contabilidad</t>
        </is>
      </c>
      <c r="D107" s="25" t="inlineStr">
        <is>
          <t>Roberto Méndez</t>
        </is>
      </c>
      <c r="E107" s="26" t="inlineStr">
        <is>
          <t>555-9561</t>
        </is>
      </c>
      <c r="F107" s="25" t="inlineStr">
        <is>
          <t>Gerente de Finanzas</t>
        </is>
      </c>
      <c r="G107" s="27" t="n">
        <v>42000</v>
      </c>
      <c r="H107" s="28" t="n">
        <v>44659</v>
      </c>
      <c r="I107" s="25" t="inlineStr">
        <is>
          <t>luis.rodriguez@empresa.com</t>
        </is>
      </c>
      <c r="J107" s="29" t="inlineStr">
        <is>
          <t>Activo</t>
        </is>
      </c>
    </row>
    <row r="108">
      <c r="A108" s="18" t="n">
        <v>207</v>
      </c>
      <c r="B108" s="19" t="inlineStr">
        <is>
          <t>Alejandro Hernández Medina</t>
        </is>
      </c>
      <c r="C108" s="19" t="inlineStr">
        <is>
          <t>Contabilidad</t>
        </is>
      </c>
      <c r="D108" s="19" t="inlineStr">
        <is>
          <t>Roberto Méndez</t>
        </is>
      </c>
      <c r="E108" s="20" t="inlineStr">
        <is>
          <t>555-1986</t>
        </is>
      </c>
      <c r="F108" s="19" t="inlineStr">
        <is>
          <t>Gerente de Finanzas</t>
        </is>
      </c>
      <c r="G108" s="21" t="n">
        <v>43400</v>
      </c>
      <c r="H108" s="22" t="n">
        <v>45598</v>
      </c>
      <c r="I108" s="19" t="inlineStr">
        <is>
          <t>alejandro.hernandez207@empresa.com</t>
        </is>
      </c>
      <c r="J108" s="23" t="inlineStr">
        <is>
          <t>Activo</t>
        </is>
      </c>
    </row>
    <row r="109">
      <c r="A109" s="24" t="n">
        <v>208</v>
      </c>
      <c r="B109" s="25" t="inlineStr">
        <is>
          <t>María Ramos González</t>
        </is>
      </c>
      <c r="C109" s="25" t="inlineStr">
        <is>
          <t>Marketing</t>
        </is>
      </c>
      <c r="D109" s="25" t="inlineStr">
        <is>
          <t>Sofía Castro</t>
        </is>
      </c>
      <c r="E109" s="26" t="inlineStr">
        <is>
          <t>555-2330</t>
        </is>
      </c>
      <c r="F109" s="25" t="inlineStr">
        <is>
          <t>Diseñador Gráfico</t>
        </is>
      </c>
      <c r="G109" s="27" t="n">
        <v>20500</v>
      </c>
      <c r="H109" s="28" t="n">
        <v>43744</v>
      </c>
      <c r="I109" s="25" t="inlineStr">
        <is>
          <t>maria.ramos@empresa.com</t>
        </is>
      </c>
      <c r="J109" s="29" t="inlineStr">
        <is>
          <t>Activo</t>
        </is>
      </c>
    </row>
    <row r="110">
      <c r="A110" s="18" t="n">
        <v>209</v>
      </c>
      <c r="B110" s="19" t="inlineStr">
        <is>
          <t>Isabel Torres López</t>
        </is>
      </c>
      <c r="C110" s="19" t="inlineStr">
        <is>
          <t>Ventas</t>
        </is>
      </c>
      <c r="D110" s="19" t="inlineStr">
        <is>
          <t>Laura Gómez</t>
        </is>
      </c>
      <c r="E110" s="20" t="inlineStr">
        <is>
          <t>555-8699</t>
        </is>
      </c>
      <c r="F110" s="19" t="inlineStr">
        <is>
          <t>Gerente de Ventas</t>
        </is>
      </c>
      <c r="G110" s="21" t="n">
        <v>34000</v>
      </c>
      <c r="H110" s="22" t="n">
        <v>44293</v>
      </c>
      <c r="I110" s="19" t="inlineStr">
        <is>
          <t>isabel.torres@empresa.com</t>
        </is>
      </c>
      <c r="J110" s="23" t="inlineStr">
        <is>
          <t>Activo</t>
        </is>
      </c>
    </row>
    <row r="111">
      <c r="A111" s="24" t="n">
        <v>210</v>
      </c>
      <c r="B111" s="25" t="inlineStr">
        <is>
          <t>Elena Ortiz Hernández</t>
        </is>
      </c>
      <c r="C111" s="25" t="inlineStr">
        <is>
          <t>Marketing</t>
        </is>
      </c>
      <c r="D111" s="25" t="inlineStr">
        <is>
          <t>Sofía Castro</t>
        </is>
      </c>
      <c r="E111" s="26" t="inlineStr">
        <is>
          <t>555-4824</t>
        </is>
      </c>
      <c r="F111" s="25" t="inlineStr">
        <is>
          <t>Gerente de Marca</t>
        </is>
      </c>
      <c r="G111" s="27" t="n">
        <v>33900</v>
      </c>
      <c r="H111" s="28" t="n">
        <v>44184</v>
      </c>
      <c r="I111" s="25" t="inlineStr">
        <is>
          <t>elena.ortiz210@empresa.com</t>
        </is>
      </c>
      <c r="J111" s="29" t="inlineStr">
        <is>
          <t>Activo</t>
        </is>
      </c>
    </row>
    <row r="112">
      <c r="A112" s="18" t="n">
        <v>211</v>
      </c>
      <c r="B112" s="19" t="inlineStr">
        <is>
          <t>Ricardo Reyes Gutiérrez</t>
        </is>
      </c>
      <c r="C112" s="19" t="inlineStr">
        <is>
          <t>Operaciones</t>
        </is>
      </c>
      <c r="D112" s="19" t="inlineStr">
        <is>
          <t>Alejandro Ruiz</t>
        </is>
      </c>
      <c r="E112" s="20" t="inlineStr">
        <is>
          <t>555-2880</t>
        </is>
      </c>
      <c r="F112" s="19" t="inlineStr">
        <is>
          <t>Supervisor de Planta</t>
        </is>
      </c>
      <c r="G112" s="21" t="n">
        <v>28200</v>
      </c>
      <c r="H112" s="22" t="n">
        <v>45331</v>
      </c>
      <c r="I112" s="19" t="inlineStr">
        <is>
          <t>ricardo.reyes@empresa.com</t>
        </is>
      </c>
      <c r="J112" s="23" t="inlineStr">
        <is>
          <t>Activo</t>
        </is>
      </c>
    </row>
    <row r="113">
      <c r="A113" s="24" t="n">
        <v>212</v>
      </c>
      <c r="B113" s="25" t="inlineStr">
        <is>
          <t>Carlos Vargas Martínez</t>
        </is>
      </c>
      <c r="C113" s="25" t="inlineStr">
        <is>
          <t>Operaciones</t>
        </is>
      </c>
      <c r="D113" s="25" t="inlineStr">
        <is>
          <t>Alejandro Ruiz</t>
        </is>
      </c>
      <c r="E113" s="26" t="inlineStr">
        <is>
          <t>555-1977</t>
        </is>
      </c>
      <c r="F113" s="25" t="inlineStr">
        <is>
          <t>Supervisor de Planta</t>
        </is>
      </c>
      <c r="G113" s="27" t="n">
        <v>16600</v>
      </c>
      <c r="H113" s="28" t="n">
        <v>43780</v>
      </c>
      <c r="I113" s="25" t="inlineStr">
        <is>
          <t>carlos.vargas212@empresa.com</t>
        </is>
      </c>
      <c r="J113" s="29" t="inlineStr">
        <is>
          <t>Activo</t>
        </is>
      </c>
    </row>
    <row r="114">
      <c r="A114" s="18" t="n">
        <v>213</v>
      </c>
      <c r="B114" s="19" t="inlineStr">
        <is>
          <t>Gabriela Mendoza Rivera</t>
        </is>
      </c>
      <c r="C114" s="19" t="inlineStr">
        <is>
          <t>Contabilidad</t>
        </is>
      </c>
      <c r="D114" s="19" t="inlineStr">
        <is>
          <t>Roberto Méndez</t>
        </is>
      </c>
      <c r="E114" s="20" t="inlineStr">
        <is>
          <t>555-3037</t>
        </is>
      </c>
      <c r="F114" s="19" t="inlineStr">
        <is>
          <t>Auditor Interno</t>
        </is>
      </c>
      <c r="G114" s="21" t="n">
        <v>31200</v>
      </c>
      <c r="H114" s="22" t="n">
        <v>45020</v>
      </c>
      <c r="I114" s="19" t="inlineStr">
        <is>
          <t>gabriela.mendoza@empresa.com</t>
        </is>
      </c>
      <c r="J114" s="23" t="inlineStr">
        <is>
          <t>Activo</t>
        </is>
      </c>
    </row>
    <row r="115">
      <c r="A115" s="24" t="n">
        <v>214</v>
      </c>
      <c r="B115" s="25" t="inlineStr">
        <is>
          <t>Fernando Flores Martínez</t>
        </is>
      </c>
      <c r="C115" s="25" t="inlineStr">
        <is>
          <t>Contabilidad</t>
        </is>
      </c>
      <c r="D115" s="25" t="inlineStr">
        <is>
          <t>Roberto Méndez</t>
        </is>
      </c>
      <c r="E115" s="26" t="inlineStr">
        <is>
          <t>555-2317</t>
        </is>
      </c>
      <c r="F115" s="25" t="inlineStr">
        <is>
          <t>Gerente de Finanzas</t>
        </is>
      </c>
      <c r="G115" s="27" t="n">
        <v>45500</v>
      </c>
      <c r="H115" s="28" t="n">
        <v>45550</v>
      </c>
      <c r="I115" s="25" t="inlineStr">
        <is>
          <t>fernando.flores@empresa.com</t>
        </is>
      </c>
      <c r="J115" s="29" t="inlineStr">
        <is>
          <t>Activo</t>
        </is>
      </c>
    </row>
    <row r="116">
      <c r="A116" s="18" t="n">
        <v>215</v>
      </c>
      <c r="B116" s="19" t="inlineStr">
        <is>
          <t>Carmen Mendoza Sánchez</t>
        </is>
      </c>
      <c r="C116" s="19" t="inlineStr">
        <is>
          <t>Contabilidad</t>
        </is>
      </c>
      <c r="D116" s="19" t="inlineStr">
        <is>
          <t>Roberto Méndez</t>
        </is>
      </c>
      <c r="E116" s="20" t="inlineStr">
        <is>
          <t>555-2496</t>
        </is>
      </c>
      <c r="F116" s="19" t="inlineStr">
        <is>
          <t>Auditor Interno</t>
        </is>
      </c>
      <c r="G116" s="21" t="n">
        <v>17700</v>
      </c>
      <c r="H116" s="22" t="n">
        <v>44038</v>
      </c>
      <c r="I116" s="19" t="inlineStr">
        <is>
          <t>carmen.mendoza215@empresa.com</t>
        </is>
      </c>
      <c r="J116" s="23" t="inlineStr">
        <is>
          <t>Activo</t>
        </is>
      </c>
    </row>
    <row r="117">
      <c r="A117" s="24" t="n">
        <v>216</v>
      </c>
      <c r="B117" s="25" t="inlineStr">
        <is>
          <t>Manuel Medina Reyes</t>
        </is>
      </c>
      <c r="C117" s="25" t="inlineStr">
        <is>
          <t>Contabilidad</t>
        </is>
      </c>
      <c r="D117" s="25" t="inlineStr">
        <is>
          <t>Roberto Méndez</t>
        </is>
      </c>
      <c r="E117" s="26" t="inlineStr">
        <is>
          <t>555-1659</t>
        </is>
      </c>
      <c r="F117" s="25" t="inlineStr">
        <is>
          <t>Auxiliar Contable</t>
        </is>
      </c>
      <c r="G117" s="27" t="n">
        <v>15200</v>
      </c>
      <c r="H117" s="28" t="n">
        <v>43818</v>
      </c>
      <c r="I117" s="25" t="inlineStr">
        <is>
          <t>manuel.medina@empresa.com</t>
        </is>
      </c>
      <c r="J117" s="29" t="inlineStr">
        <is>
          <t>Activo</t>
        </is>
      </c>
    </row>
    <row r="118">
      <c r="A118" s="18" t="n">
        <v>217</v>
      </c>
      <c r="B118" s="19" t="inlineStr">
        <is>
          <t>Ricardo Castillo Vargas</t>
        </is>
      </c>
      <c r="C118" s="19" t="inlineStr">
        <is>
          <t>Sistemas</t>
        </is>
      </c>
      <c r="D118" s="19" t="inlineStr">
        <is>
          <t>Miguel López</t>
        </is>
      </c>
      <c r="E118" s="20" t="inlineStr">
        <is>
          <t>555-8141</t>
        </is>
      </c>
      <c r="F118" s="19" t="inlineStr">
        <is>
          <t>Analista de Sistemas</t>
        </is>
      </c>
      <c r="G118" s="21" t="n">
        <v>38600</v>
      </c>
      <c r="H118" s="22" t="n">
        <v>45701</v>
      </c>
      <c r="I118" s="19" t="inlineStr">
        <is>
          <t>ricardo.castillo217@empresa.com</t>
        </is>
      </c>
      <c r="J118" s="23" t="inlineStr">
        <is>
          <t>Activo</t>
        </is>
      </c>
    </row>
    <row r="119">
      <c r="A119" s="24" t="n">
        <v>218</v>
      </c>
      <c r="B119" s="25" t="inlineStr">
        <is>
          <t>Luis Morales Ramírez</t>
        </is>
      </c>
      <c r="C119" s="25" t="inlineStr">
        <is>
          <t>Recursos Humanos</t>
        </is>
      </c>
      <c r="D119" s="25" t="inlineStr">
        <is>
          <t>Elena Pastrana</t>
        </is>
      </c>
      <c r="E119" s="26" t="inlineStr">
        <is>
          <t>555-2713</t>
        </is>
      </c>
      <c r="F119" s="25" t="inlineStr">
        <is>
          <t>Generalista de RRHH</t>
        </is>
      </c>
      <c r="G119" s="27" t="n">
        <v>20200</v>
      </c>
      <c r="H119" s="28" t="n">
        <v>43759</v>
      </c>
      <c r="I119" s="25" t="inlineStr">
        <is>
          <t>luis.morales@empresa.com</t>
        </is>
      </c>
      <c r="J119" s="29" t="inlineStr">
        <is>
          <t>Activo</t>
        </is>
      </c>
    </row>
    <row r="120">
      <c r="A120" s="18" t="n">
        <v>219</v>
      </c>
      <c r="B120" s="19" t="inlineStr">
        <is>
          <t>Fernando Morales Hernández</t>
        </is>
      </c>
      <c r="C120" s="19" t="inlineStr">
        <is>
          <t>Marketing</t>
        </is>
      </c>
      <c r="D120" s="19" t="inlineStr">
        <is>
          <t>Sofía Castro</t>
        </is>
      </c>
      <c r="E120" s="20" t="inlineStr">
        <is>
          <t>555-8451</t>
        </is>
      </c>
      <c r="F120" s="19" t="inlineStr">
        <is>
          <t>Gerente de Marca</t>
        </is>
      </c>
      <c r="G120" s="21" t="n">
        <v>33400</v>
      </c>
      <c r="H120" s="22" t="n">
        <v>43461</v>
      </c>
      <c r="I120" s="19" t="inlineStr">
        <is>
          <t>fernando.morales@empresa.com</t>
        </is>
      </c>
      <c r="J120" s="23" t="inlineStr">
        <is>
          <t>Activo</t>
        </is>
      </c>
    </row>
    <row r="121">
      <c r="A121" s="24" t="n">
        <v>220</v>
      </c>
      <c r="B121" s="25" t="inlineStr">
        <is>
          <t>Jorge Gómez Ramos</t>
        </is>
      </c>
      <c r="C121" s="25" t="inlineStr">
        <is>
          <t>Recursos Humanos</t>
        </is>
      </c>
      <c r="D121" s="25" t="inlineStr">
        <is>
          <t>Elena Pastrana</t>
        </is>
      </c>
      <c r="E121" s="26" t="inlineStr">
        <is>
          <t>555-8569</t>
        </is>
      </c>
      <c r="F121" s="25" t="inlineStr">
        <is>
          <t>Auxiliar de RRHH</t>
        </is>
      </c>
      <c r="G121" s="27" t="n">
        <v>15900</v>
      </c>
      <c r="H121" s="28" t="n">
        <v>44793</v>
      </c>
      <c r="I121" s="25" t="inlineStr">
        <is>
          <t>jorge.gomez@empresa.com</t>
        </is>
      </c>
      <c r="J121" s="29" t="inlineStr">
        <is>
          <t>Activo</t>
        </is>
      </c>
    </row>
    <row r="122">
      <c r="A122" s="18" t="n">
        <v>221</v>
      </c>
      <c r="B122" s="19" t="inlineStr">
        <is>
          <t>Roberto Ramírez Cruz</t>
        </is>
      </c>
      <c r="C122" s="19" t="inlineStr">
        <is>
          <t>Operaciones</t>
        </is>
      </c>
      <c r="D122" s="19" t="inlineStr">
        <is>
          <t>Alejandro Ruiz</t>
        </is>
      </c>
      <c r="E122" s="20" t="inlineStr">
        <is>
          <t>555-1845</t>
        </is>
      </c>
      <c r="F122" s="19" t="inlineStr">
        <is>
          <t>Gerente de Operaciones</t>
        </is>
      </c>
      <c r="G122" s="21" t="n">
        <v>43200</v>
      </c>
      <c r="H122" s="22" t="n">
        <v>43934</v>
      </c>
      <c r="I122" s="19" t="inlineStr">
        <is>
          <t>roberto.ramirez@empresa.com</t>
        </is>
      </c>
      <c r="J122" s="23" t="inlineStr">
        <is>
          <t>Activo</t>
        </is>
      </c>
    </row>
    <row r="123">
      <c r="A123" s="24" t="n">
        <v>222</v>
      </c>
      <c r="B123" s="25" t="inlineStr">
        <is>
          <t>Carlos Vargas Hernández</t>
        </is>
      </c>
      <c r="C123" s="25" t="inlineStr">
        <is>
          <t>Recursos Humanos</t>
        </is>
      </c>
      <c r="D123" s="25" t="inlineStr">
        <is>
          <t>Elena Pastrana</t>
        </is>
      </c>
      <c r="E123" s="26" t="inlineStr">
        <is>
          <t>555-1472</t>
        </is>
      </c>
      <c r="F123" s="25" t="inlineStr">
        <is>
          <t>Gerente de RRHH</t>
        </is>
      </c>
      <c r="G123" s="27" t="n">
        <v>31300</v>
      </c>
      <c r="H123" s="28" t="n">
        <v>45681</v>
      </c>
      <c r="I123" s="25" t="inlineStr">
        <is>
          <t>carlos.vargas@empresa.com</t>
        </is>
      </c>
      <c r="J123" s="29" t="inlineStr">
        <is>
          <t>Activo</t>
        </is>
      </c>
    </row>
    <row r="124">
      <c r="A124" s="18" t="n">
        <v>223</v>
      </c>
      <c r="B124" s="19" t="inlineStr">
        <is>
          <t>Sofía Ortiz López</t>
        </is>
      </c>
      <c r="C124" s="19" t="inlineStr">
        <is>
          <t>Sistemas</t>
        </is>
      </c>
      <c r="D124" s="19" t="inlineStr">
        <is>
          <t>Miguel López</t>
        </is>
      </c>
      <c r="E124" s="20" t="inlineStr">
        <is>
          <t>555-7684</t>
        </is>
      </c>
      <c r="F124" s="19" t="inlineStr">
        <is>
          <t>Gerente de TI</t>
        </is>
      </c>
      <c r="G124" s="21" t="n">
        <v>44200</v>
      </c>
      <c r="H124" s="22" t="n">
        <v>43482</v>
      </c>
      <c r="I124" s="19" t="inlineStr">
        <is>
          <t>sofia.ortiz@empresa.com</t>
        </is>
      </c>
      <c r="J124" s="23" t="inlineStr">
        <is>
          <t>Activo</t>
        </is>
      </c>
    </row>
    <row r="125">
      <c r="A125" s="24" t="n">
        <v>224</v>
      </c>
      <c r="B125" s="25" t="inlineStr">
        <is>
          <t>Manuel Vargas Gómez</t>
        </is>
      </c>
      <c r="C125" s="25" t="inlineStr">
        <is>
          <t>Recursos Humanos</t>
        </is>
      </c>
      <c r="D125" s="25" t="inlineStr">
        <is>
          <t>Elena Pastrana</t>
        </is>
      </c>
      <c r="E125" s="26" t="inlineStr">
        <is>
          <t>555-9165</t>
        </is>
      </c>
      <c r="F125" s="25" t="inlineStr">
        <is>
          <t>Auxiliar de RRHH</t>
        </is>
      </c>
      <c r="G125" s="27" t="n">
        <v>12700</v>
      </c>
      <c r="H125" s="28" t="n">
        <v>46036</v>
      </c>
      <c r="I125" s="25" t="inlineStr">
        <is>
          <t>manuel.vargas@empresa.com</t>
        </is>
      </c>
      <c r="J125" s="29" t="inlineStr">
        <is>
          <t>Activo</t>
        </is>
      </c>
    </row>
    <row r="126">
      <c r="A126" s="18" t="n">
        <v>225</v>
      </c>
      <c r="B126" s="19" t="inlineStr">
        <is>
          <t>Carmen Rivera Morales</t>
        </is>
      </c>
      <c r="C126" s="19" t="inlineStr">
        <is>
          <t>Recursos Humanos</t>
        </is>
      </c>
      <c r="D126" s="19" t="inlineStr">
        <is>
          <t>Elena Pastrana</t>
        </is>
      </c>
      <c r="E126" s="20" t="inlineStr">
        <is>
          <t>555-3369</t>
        </is>
      </c>
      <c r="F126" s="19" t="inlineStr">
        <is>
          <t>Analista de Nómina</t>
        </is>
      </c>
      <c r="G126" s="21" t="n">
        <v>22400</v>
      </c>
      <c r="H126" s="22" t="n">
        <v>44672</v>
      </c>
      <c r="I126" s="19" t="inlineStr">
        <is>
          <t>carmen.rivera@empresa.com</t>
        </is>
      </c>
      <c r="J126" s="23" t="inlineStr">
        <is>
          <t>Activo</t>
        </is>
      </c>
    </row>
    <row r="127">
      <c r="A127" s="24" t="n">
        <v>226</v>
      </c>
      <c r="B127" s="25" t="inlineStr">
        <is>
          <t>Gabriela García Mendoza</t>
        </is>
      </c>
      <c r="C127" s="25" t="inlineStr">
        <is>
          <t>Compras</t>
        </is>
      </c>
      <c r="D127" s="25" t="inlineStr">
        <is>
          <t>Carlos Díaz</t>
        </is>
      </c>
      <c r="E127" s="26" t="inlineStr">
        <is>
          <t>555-7798</t>
        </is>
      </c>
      <c r="F127" s="25" t="inlineStr">
        <is>
          <t>Auxiliar de Compras</t>
        </is>
      </c>
      <c r="G127" s="27" t="n">
        <v>13200</v>
      </c>
      <c r="H127" s="28" t="n">
        <v>44493</v>
      </c>
      <c r="I127" s="25" t="inlineStr">
        <is>
          <t>gabriela.garcia226@empresa.com</t>
        </is>
      </c>
      <c r="J127" s="29" t="inlineStr">
        <is>
          <t>Activo</t>
        </is>
      </c>
    </row>
    <row r="128">
      <c r="A128" s="18" t="n">
        <v>227</v>
      </c>
      <c r="B128" s="19" t="inlineStr">
        <is>
          <t>Roberto Martínez Rivera</t>
        </is>
      </c>
      <c r="C128" s="19" t="inlineStr">
        <is>
          <t>Ventas</t>
        </is>
      </c>
      <c r="D128" s="19" t="inlineStr">
        <is>
          <t>Laura Gómez</t>
        </is>
      </c>
      <c r="E128" s="20" t="inlineStr">
        <is>
          <t>555-5891</t>
        </is>
      </c>
      <c r="F128" s="19" t="inlineStr">
        <is>
          <t>Coordinador de Ventas</t>
        </is>
      </c>
      <c r="G128" s="21" t="n">
        <v>27400</v>
      </c>
      <c r="H128" s="22" t="n">
        <v>45505</v>
      </c>
      <c r="I128" s="19" t="inlineStr">
        <is>
          <t>roberto.martinez@empresa.com</t>
        </is>
      </c>
      <c r="J128" s="23" t="inlineStr">
        <is>
          <t>Activo</t>
        </is>
      </c>
    </row>
    <row r="129">
      <c r="A129" s="24" t="n">
        <v>228</v>
      </c>
      <c r="B129" s="25" t="inlineStr">
        <is>
          <t>Andrea Morales Medina</t>
        </is>
      </c>
      <c r="C129" s="25" t="inlineStr">
        <is>
          <t>Compras</t>
        </is>
      </c>
      <c r="D129" s="25" t="inlineStr">
        <is>
          <t>Carlos Díaz</t>
        </is>
      </c>
      <c r="E129" s="26" t="inlineStr">
        <is>
          <t>555-8935</t>
        </is>
      </c>
      <c r="F129" s="25" t="inlineStr">
        <is>
          <t>Gerente de Compras</t>
        </is>
      </c>
      <c r="G129" s="27" t="n">
        <v>36400</v>
      </c>
      <c r="H129" s="28" t="n">
        <v>44514</v>
      </c>
      <c r="I129" s="25" t="inlineStr">
        <is>
          <t>andrea.morales@empresa.com</t>
        </is>
      </c>
      <c r="J129" s="29" t="inlineStr">
        <is>
          <t>Activo</t>
        </is>
      </c>
    </row>
    <row r="130">
      <c r="A130" s="18" t="n">
        <v>229</v>
      </c>
      <c r="B130" s="19" t="inlineStr">
        <is>
          <t>Javier Jiménez Flores</t>
        </is>
      </c>
      <c r="C130" s="19" t="inlineStr">
        <is>
          <t>Recursos Humanos</t>
        </is>
      </c>
      <c r="D130" s="19" t="inlineStr">
        <is>
          <t>Elena Pastrana</t>
        </is>
      </c>
      <c r="E130" s="20" t="inlineStr">
        <is>
          <t>555-4912</t>
        </is>
      </c>
      <c r="F130" s="19" t="inlineStr">
        <is>
          <t>Generalista de RRHH</t>
        </is>
      </c>
      <c r="G130" s="21" t="n">
        <v>18000</v>
      </c>
      <c r="H130" s="22" t="n">
        <v>45443</v>
      </c>
      <c r="I130" s="19" t="inlineStr">
        <is>
          <t>javier.jimenez@empresa.com</t>
        </is>
      </c>
      <c r="J130" s="23" t="inlineStr">
        <is>
          <t>Activo</t>
        </is>
      </c>
    </row>
    <row r="131">
      <c r="A131" s="24" t="n">
        <v>230</v>
      </c>
      <c r="B131" s="25" t="inlineStr">
        <is>
          <t>Beatriz Ramos Vázquez</t>
        </is>
      </c>
      <c r="C131" s="25" t="inlineStr">
        <is>
          <t>Ventas</t>
        </is>
      </c>
      <c r="D131" s="25" t="inlineStr">
        <is>
          <t>Laura Gómez</t>
        </is>
      </c>
      <c r="E131" s="26" t="inlineStr">
        <is>
          <t>555-8749</t>
        </is>
      </c>
      <c r="F131" s="25" t="inlineStr">
        <is>
          <t>Coordinador de Ventas</t>
        </is>
      </c>
      <c r="G131" s="27" t="n">
        <v>27800</v>
      </c>
      <c r="H131" s="28" t="n">
        <v>45989</v>
      </c>
      <c r="I131" s="25" t="inlineStr">
        <is>
          <t>beatriz.ramos230@empresa.com</t>
        </is>
      </c>
      <c r="J131" s="29" t="inlineStr">
        <is>
          <t>Activo</t>
        </is>
      </c>
    </row>
    <row r="132">
      <c r="A132" s="18" t="n">
        <v>231</v>
      </c>
      <c r="B132" s="19" t="inlineStr">
        <is>
          <t>Diego Flores Gutiérrez</t>
        </is>
      </c>
      <c r="C132" s="19" t="inlineStr">
        <is>
          <t>Operaciones</t>
        </is>
      </c>
      <c r="D132" s="19" t="inlineStr">
        <is>
          <t>Alejandro Ruiz</t>
        </is>
      </c>
      <c r="E132" s="20" t="inlineStr">
        <is>
          <t>555-1606</t>
        </is>
      </c>
      <c r="F132" s="19" t="inlineStr">
        <is>
          <t>Supervisor de Planta</t>
        </is>
      </c>
      <c r="G132" s="21" t="n">
        <v>30500</v>
      </c>
      <c r="H132" s="22" t="n">
        <v>43618</v>
      </c>
      <c r="I132" s="19" t="inlineStr">
        <is>
          <t>diego.flores@empresa.com</t>
        </is>
      </c>
      <c r="J132" s="23" t="inlineStr">
        <is>
          <t>Activo</t>
        </is>
      </c>
    </row>
    <row r="133">
      <c r="A133" s="24" t="n">
        <v>232</v>
      </c>
      <c r="B133" s="25" t="inlineStr">
        <is>
          <t>Francisco Sánchez Medina</t>
        </is>
      </c>
      <c r="C133" s="25" t="inlineStr">
        <is>
          <t>Ventas</t>
        </is>
      </c>
      <c r="D133" s="25" t="inlineStr">
        <is>
          <t>Laura Gómez</t>
        </is>
      </c>
      <c r="E133" s="26" t="inlineStr">
        <is>
          <t>555-9617</t>
        </is>
      </c>
      <c r="F133" s="25" t="inlineStr">
        <is>
          <t>Gerente de Ventas</t>
        </is>
      </c>
      <c r="G133" s="27" t="n">
        <v>31200</v>
      </c>
      <c r="H133" s="28" t="n">
        <v>44972</v>
      </c>
      <c r="I133" s="25" t="inlineStr">
        <is>
          <t>francisco.sanchez@empresa.com</t>
        </is>
      </c>
      <c r="J133" s="29" t="inlineStr">
        <is>
          <t>Activo</t>
        </is>
      </c>
    </row>
    <row r="134">
      <c r="A134" s="18" t="n">
        <v>233</v>
      </c>
      <c r="B134" s="19" t="inlineStr">
        <is>
          <t>Carlos Vázquez Medina</t>
        </is>
      </c>
      <c r="C134" s="19" t="inlineStr">
        <is>
          <t>Marketing</t>
        </is>
      </c>
      <c r="D134" s="19" t="inlineStr">
        <is>
          <t>Sofía Castro</t>
        </is>
      </c>
      <c r="E134" s="20" t="inlineStr">
        <is>
          <t>555-8692</t>
        </is>
      </c>
      <c r="F134" s="19" t="inlineStr">
        <is>
          <t>Diseñador Gráfico</t>
        </is>
      </c>
      <c r="G134" s="21" t="n">
        <v>17400</v>
      </c>
      <c r="H134" s="22" t="n">
        <v>44186</v>
      </c>
      <c r="I134" s="19" t="inlineStr">
        <is>
          <t>carlos.vazquez@empresa.com</t>
        </is>
      </c>
      <c r="J134" s="23" t="inlineStr">
        <is>
          <t>Activo</t>
        </is>
      </c>
    </row>
    <row r="135">
      <c r="A135" s="24" t="n">
        <v>234</v>
      </c>
      <c r="B135" s="25" t="inlineStr">
        <is>
          <t>Fernando Flores Álvarez</t>
        </is>
      </c>
      <c r="C135" s="25" t="inlineStr">
        <is>
          <t>Ventas</t>
        </is>
      </c>
      <c r="D135" s="25" t="inlineStr">
        <is>
          <t>Laura Gómez</t>
        </is>
      </c>
      <c r="E135" s="26" t="inlineStr">
        <is>
          <t>555-9742</t>
        </is>
      </c>
      <c r="F135" s="25" t="inlineStr">
        <is>
          <t>Coordinador de Ventas</t>
        </is>
      </c>
      <c r="G135" s="27" t="n">
        <v>26600</v>
      </c>
      <c r="H135" s="28" t="n">
        <v>44657</v>
      </c>
      <c r="I135" s="25" t="inlineStr">
        <is>
          <t>fernando.flores234@empresa.com</t>
        </is>
      </c>
      <c r="J135" s="29" t="inlineStr">
        <is>
          <t>Activo</t>
        </is>
      </c>
    </row>
    <row r="136">
      <c r="A136" s="18" t="n">
        <v>235</v>
      </c>
      <c r="B136" s="19" t="inlineStr">
        <is>
          <t>Ricardo Ortiz Castro</t>
        </is>
      </c>
      <c r="C136" s="19" t="inlineStr">
        <is>
          <t>Operaciones</t>
        </is>
      </c>
      <c r="D136" s="19" t="inlineStr">
        <is>
          <t>Alejandro Ruiz</t>
        </is>
      </c>
      <c r="E136" s="20" t="inlineStr">
        <is>
          <t>555-1588</t>
        </is>
      </c>
      <c r="F136" s="19" t="inlineStr">
        <is>
          <t>Gerente de Operaciones</t>
        </is>
      </c>
      <c r="G136" s="21" t="n">
        <v>44800</v>
      </c>
      <c r="H136" s="22" t="n">
        <v>45630</v>
      </c>
      <c r="I136" s="19" t="inlineStr">
        <is>
          <t>ricardo.ortiz@empresa.com</t>
        </is>
      </c>
      <c r="J136" s="23" t="inlineStr">
        <is>
          <t>Activo</t>
        </is>
      </c>
    </row>
    <row r="137">
      <c r="A137" s="24" t="n">
        <v>236</v>
      </c>
      <c r="B137" s="25" t="inlineStr">
        <is>
          <t>Ricardo Gutiérrez Vargas</t>
        </is>
      </c>
      <c r="C137" s="25" t="inlineStr">
        <is>
          <t>Sistemas</t>
        </is>
      </c>
      <c r="D137" s="25" t="inlineStr">
        <is>
          <t>Miguel López</t>
        </is>
      </c>
      <c r="E137" s="26" t="inlineStr">
        <is>
          <t>555-8110</t>
        </is>
      </c>
      <c r="F137" s="25" t="inlineStr">
        <is>
          <t>Analista de Sistemas</t>
        </is>
      </c>
      <c r="G137" s="27" t="n">
        <v>22400</v>
      </c>
      <c r="H137" s="28" t="n">
        <v>43504</v>
      </c>
      <c r="I137" s="25" t="inlineStr">
        <is>
          <t>ricardo.gutierrez236@empresa.com</t>
        </is>
      </c>
      <c r="J137" s="29" t="inlineStr">
        <is>
          <t>Activo</t>
        </is>
      </c>
    </row>
    <row r="138">
      <c r="A138" s="18" t="n">
        <v>237</v>
      </c>
      <c r="B138" s="19" t="inlineStr">
        <is>
          <t>Fernando Medina Gómez</t>
        </is>
      </c>
      <c r="C138" s="19" t="inlineStr">
        <is>
          <t>Recursos Humanos</t>
        </is>
      </c>
      <c r="D138" s="19" t="inlineStr">
        <is>
          <t>Elena Pastrana</t>
        </is>
      </c>
      <c r="E138" s="20" t="inlineStr">
        <is>
          <t>555-5906</t>
        </is>
      </c>
      <c r="F138" s="19" t="inlineStr">
        <is>
          <t>Analista de Nómina</t>
        </is>
      </c>
      <c r="G138" s="21" t="n">
        <v>26300</v>
      </c>
      <c r="H138" s="22" t="n">
        <v>43219</v>
      </c>
      <c r="I138" s="19" t="inlineStr">
        <is>
          <t>fernando.medina@empresa.com</t>
        </is>
      </c>
      <c r="J138" s="23" t="inlineStr">
        <is>
          <t>Activo</t>
        </is>
      </c>
    </row>
    <row r="139">
      <c r="A139" s="24" t="n">
        <v>238</v>
      </c>
      <c r="B139" s="25" t="inlineStr">
        <is>
          <t>Mónica Ruiz Hernández</t>
        </is>
      </c>
      <c r="C139" s="25" t="inlineStr">
        <is>
          <t>Sistemas</t>
        </is>
      </c>
      <c r="D139" s="25" t="inlineStr">
        <is>
          <t>Miguel López</t>
        </is>
      </c>
      <c r="E139" s="26" t="inlineStr">
        <is>
          <t>555-3385</t>
        </is>
      </c>
      <c r="F139" s="25" t="inlineStr">
        <is>
          <t>Soporte Técnico</t>
        </is>
      </c>
      <c r="G139" s="27" t="n">
        <v>33600</v>
      </c>
      <c r="H139" s="28" t="n">
        <v>44101</v>
      </c>
      <c r="I139" s="25" t="inlineStr">
        <is>
          <t>monica.ruiz@empresa.com</t>
        </is>
      </c>
      <c r="J139" s="29" t="inlineStr">
        <is>
          <t>Activo</t>
        </is>
      </c>
    </row>
    <row r="140">
      <c r="A140" s="18" t="n">
        <v>239</v>
      </c>
      <c r="B140" s="19" t="inlineStr">
        <is>
          <t>Francisco Gutiérrez Chávez</t>
        </is>
      </c>
      <c r="C140" s="19" t="inlineStr">
        <is>
          <t>Compras</t>
        </is>
      </c>
      <c r="D140" s="19" t="inlineStr">
        <is>
          <t>Carlos Díaz</t>
        </is>
      </c>
      <c r="E140" s="20" t="inlineStr">
        <is>
          <t>555-2293</t>
        </is>
      </c>
      <c r="F140" s="19" t="inlineStr">
        <is>
          <t>Analista de Compras</t>
        </is>
      </c>
      <c r="G140" s="21" t="n">
        <v>17100</v>
      </c>
      <c r="H140" s="22" t="n">
        <v>45597</v>
      </c>
      <c r="I140" s="19" t="inlineStr">
        <is>
          <t>francisco.gutierrez239@empresa.com</t>
        </is>
      </c>
      <c r="J140" s="23" t="inlineStr">
        <is>
          <t>Activo</t>
        </is>
      </c>
    </row>
    <row r="141">
      <c r="A141" s="24" t="n">
        <v>240</v>
      </c>
      <c r="B141" s="25" t="inlineStr">
        <is>
          <t>Gabriela Gutiérrez Rodríguez</t>
        </is>
      </c>
      <c r="C141" s="25" t="inlineStr">
        <is>
          <t>Recursos Humanos</t>
        </is>
      </c>
      <c r="D141" s="25" t="inlineStr">
        <is>
          <t>Elena Pastrana</t>
        </is>
      </c>
      <c r="E141" s="26" t="inlineStr">
        <is>
          <t>555-8555</t>
        </is>
      </c>
      <c r="F141" s="25" t="inlineStr">
        <is>
          <t>Analista de Nómina</t>
        </is>
      </c>
      <c r="G141" s="27" t="n">
        <v>18700</v>
      </c>
      <c r="H141" s="28" t="n">
        <v>45713</v>
      </c>
      <c r="I141" s="25" t="inlineStr">
        <is>
          <t>gabriela.gutierrez@empresa.com</t>
        </is>
      </c>
      <c r="J141" s="29" t="inlineStr">
        <is>
          <t>Activo</t>
        </is>
      </c>
    </row>
    <row r="142">
      <c r="A142" s="18" t="n">
        <v>241</v>
      </c>
      <c r="B142" s="19" t="inlineStr">
        <is>
          <t>Miguel Gutiérrez Pérez</t>
        </is>
      </c>
      <c r="C142" s="19" t="inlineStr">
        <is>
          <t>Operaciones</t>
        </is>
      </c>
      <c r="D142" s="19" t="inlineStr">
        <is>
          <t>Alejandro Ruiz</t>
        </is>
      </c>
      <c r="E142" s="20" t="inlineStr">
        <is>
          <t>555-9955</t>
        </is>
      </c>
      <c r="F142" s="19" t="inlineStr">
        <is>
          <t>Gerente de Operaciones</t>
        </is>
      </c>
      <c r="G142" s="21" t="n">
        <v>40700</v>
      </c>
      <c r="H142" s="22" t="n">
        <v>43748</v>
      </c>
      <c r="I142" s="19" t="inlineStr">
        <is>
          <t>miguel.gutierrez@empresa.com</t>
        </is>
      </c>
      <c r="J142" s="23" t="inlineStr">
        <is>
          <t>Activo</t>
        </is>
      </c>
    </row>
    <row r="143">
      <c r="A143" s="24" t="n">
        <v>242</v>
      </c>
      <c r="B143" s="25" t="inlineStr">
        <is>
          <t>Lucía Reyes Hernández</t>
        </is>
      </c>
      <c r="C143" s="25" t="inlineStr">
        <is>
          <t>Marketing</t>
        </is>
      </c>
      <c r="D143" s="25" t="inlineStr">
        <is>
          <t>Sofía Castro</t>
        </is>
      </c>
      <c r="E143" s="26" t="inlineStr">
        <is>
          <t>555-8484</t>
        </is>
      </c>
      <c r="F143" s="25" t="inlineStr">
        <is>
          <t>Gerente de Marca</t>
        </is>
      </c>
      <c r="G143" s="27" t="n">
        <v>36800</v>
      </c>
      <c r="H143" s="28" t="n">
        <v>44338</v>
      </c>
      <c r="I143" s="25" t="inlineStr">
        <is>
          <t>lucia.reyes@empresa.com</t>
        </is>
      </c>
      <c r="J143" s="29" t="inlineStr">
        <is>
          <t>Activo</t>
        </is>
      </c>
    </row>
    <row r="144">
      <c r="A144" s="18" t="n">
        <v>243</v>
      </c>
      <c r="B144" s="19" t="inlineStr">
        <is>
          <t>Diego Medina Morales</t>
        </is>
      </c>
      <c r="C144" s="19" t="inlineStr">
        <is>
          <t>Ventas</t>
        </is>
      </c>
      <c r="D144" s="19" t="inlineStr">
        <is>
          <t>Laura Gómez</t>
        </is>
      </c>
      <c r="E144" s="20" t="inlineStr">
        <is>
          <t>555-6881</t>
        </is>
      </c>
      <c r="F144" s="19" t="inlineStr">
        <is>
          <t>Asesor Comercial</t>
        </is>
      </c>
      <c r="G144" s="21" t="n">
        <v>21800</v>
      </c>
      <c r="H144" s="22" t="n">
        <v>45455</v>
      </c>
      <c r="I144" s="19" t="inlineStr">
        <is>
          <t>diego.medina@empresa.com</t>
        </is>
      </c>
      <c r="J144" s="23" t="inlineStr">
        <is>
          <t>Activo</t>
        </is>
      </c>
    </row>
    <row r="145">
      <c r="A145" s="24" t="n">
        <v>244</v>
      </c>
      <c r="B145" s="25" t="inlineStr">
        <is>
          <t>Fernando Hernández Pérez</t>
        </is>
      </c>
      <c r="C145" s="25" t="inlineStr">
        <is>
          <t>Operaciones</t>
        </is>
      </c>
      <c r="D145" s="25" t="inlineStr">
        <is>
          <t>Alejandro Ruiz</t>
        </is>
      </c>
      <c r="E145" s="26" t="inlineStr">
        <is>
          <t>555-1132</t>
        </is>
      </c>
      <c r="F145" s="25" t="inlineStr">
        <is>
          <t>Gerente de Operaciones</t>
        </is>
      </c>
      <c r="G145" s="27" t="n">
        <v>40400</v>
      </c>
      <c r="H145" s="28" t="n">
        <v>45419</v>
      </c>
      <c r="I145" s="25" t="inlineStr">
        <is>
          <t>fernando.hernandez244@empresa.com</t>
        </is>
      </c>
      <c r="J145" s="29" t="inlineStr">
        <is>
          <t>Activo</t>
        </is>
      </c>
    </row>
    <row r="146">
      <c r="A146" s="18" t="n">
        <v>245</v>
      </c>
      <c r="B146" s="19" t="inlineStr">
        <is>
          <t>Javier Mendoza Ruiz</t>
        </is>
      </c>
      <c r="C146" s="19" t="inlineStr">
        <is>
          <t>Contabilidad</t>
        </is>
      </c>
      <c r="D146" s="19" t="inlineStr">
        <is>
          <t>Roberto Méndez</t>
        </is>
      </c>
      <c r="E146" s="20" t="inlineStr">
        <is>
          <t>555-4770</t>
        </is>
      </c>
      <c r="F146" s="19" t="inlineStr">
        <is>
          <t>Gerente de Finanzas</t>
        </is>
      </c>
      <c r="G146" s="21" t="n">
        <v>43000</v>
      </c>
      <c r="H146" s="22" t="n">
        <v>45587</v>
      </c>
      <c r="I146" s="19" t="inlineStr">
        <is>
          <t>javier.mendoza245@empresa.com</t>
        </is>
      </c>
      <c r="J146" s="23" t="inlineStr">
        <is>
          <t>Activo</t>
        </is>
      </c>
    </row>
    <row r="147">
      <c r="A147" s="24" t="n">
        <v>246</v>
      </c>
      <c r="B147" s="25" t="inlineStr">
        <is>
          <t>Sofía Álvarez González</t>
        </is>
      </c>
      <c r="C147" s="25" t="inlineStr">
        <is>
          <t>Contabilidad</t>
        </is>
      </c>
      <c r="D147" s="25" t="inlineStr">
        <is>
          <t>Roberto Méndez</t>
        </is>
      </c>
      <c r="E147" s="26" t="inlineStr">
        <is>
          <t>555-2591</t>
        </is>
      </c>
      <c r="F147" s="25" t="inlineStr">
        <is>
          <t>Auditor Interno</t>
        </is>
      </c>
      <c r="G147" s="27" t="n">
        <v>21300</v>
      </c>
      <c r="H147" s="28" t="n">
        <v>45671</v>
      </c>
      <c r="I147" s="25" t="inlineStr">
        <is>
          <t>sofia.alvarez@empresa.com</t>
        </is>
      </c>
      <c r="J147" s="29" t="inlineStr">
        <is>
          <t>Activo</t>
        </is>
      </c>
    </row>
    <row r="148">
      <c r="A148" s="18" t="n">
        <v>247</v>
      </c>
      <c r="B148" s="19" t="inlineStr">
        <is>
          <t>Elena Chávez Castillo</t>
        </is>
      </c>
      <c r="C148" s="19" t="inlineStr">
        <is>
          <t>Ventas</t>
        </is>
      </c>
      <c r="D148" s="19" t="inlineStr">
        <is>
          <t>Laura Gómez</t>
        </is>
      </c>
      <c r="E148" s="20" t="inlineStr">
        <is>
          <t>555-3153</t>
        </is>
      </c>
      <c r="F148" s="19" t="inlineStr">
        <is>
          <t>Coordinador de Ventas</t>
        </is>
      </c>
      <c r="G148" s="21" t="n">
        <v>27500</v>
      </c>
      <c r="H148" s="22" t="n">
        <v>43470</v>
      </c>
      <c r="I148" s="19" t="inlineStr">
        <is>
          <t>elena.chavez247@empresa.com</t>
        </is>
      </c>
      <c r="J148" s="23" t="inlineStr">
        <is>
          <t>Activo</t>
        </is>
      </c>
    </row>
    <row r="149">
      <c r="A149" s="24" t="n">
        <v>248</v>
      </c>
      <c r="B149" s="25" t="inlineStr">
        <is>
          <t>Jorge Mendoza Vázquez</t>
        </is>
      </c>
      <c r="C149" s="25" t="inlineStr">
        <is>
          <t>Compras</t>
        </is>
      </c>
      <c r="D149" s="25" t="inlineStr">
        <is>
          <t>Carlos Díaz</t>
        </is>
      </c>
      <c r="E149" s="26" t="inlineStr">
        <is>
          <t>555-9837</t>
        </is>
      </c>
      <c r="F149" s="25" t="inlineStr">
        <is>
          <t>Analista de Compras</t>
        </is>
      </c>
      <c r="G149" s="27" t="n">
        <v>16400</v>
      </c>
      <c r="H149" s="28" t="n">
        <v>44599</v>
      </c>
      <c r="I149" s="25" t="inlineStr">
        <is>
          <t>jorge.mendoza@empresa.com</t>
        </is>
      </c>
      <c r="J149" s="29" t="inlineStr">
        <is>
          <t>Activo</t>
        </is>
      </c>
    </row>
    <row r="150">
      <c r="A150" s="18" t="n">
        <v>249</v>
      </c>
      <c r="B150" s="19" t="inlineStr">
        <is>
          <t>Silvia Martínez Rivera</t>
        </is>
      </c>
      <c r="C150" s="19" t="inlineStr">
        <is>
          <t>Compras</t>
        </is>
      </c>
      <c r="D150" s="19" t="inlineStr">
        <is>
          <t>Carlos Díaz</t>
        </is>
      </c>
      <c r="E150" s="20" t="inlineStr">
        <is>
          <t>555-8894</t>
        </is>
      </c>
      <c r="F150" s="19" t="inlineStr">
        <is>
          <t>Especialista de Abastecimiento</t>
        </is>
      </c>
      <c r="G150" s="21" t="n">
        <v>29200</v>
      </c>
      <c r="H150" s="22" t="n">
        <v>44309</v>
      </c>
      <c r="I150" s="19" t="inlineStr">
        <is>
          <t>silvia.martinez249@empresa.com</t>
        </is>
      </c>
      <c r="J150" s="23" t="inlineStr">
        <is>
          <t>Activo</t>
        </is>
      </c>
    </row>
    <row r="151">
      <c r="A151" s="24" t="n">
        <v>250</v>
      </c>
      <c r="B151" s="25" t="inlineStr">
        <is>
          <t>Jorge Chávez Gómez</t>
        </is>
      </c>
      <c r="C151" s="25" t="inlineStr">
        <is>
          <t>Recursos Humanos</t>
        </is>
      </c>
      <c r="D151" s="25" t="inlineStr">
        <is>
          <t>Elena Pastrana</t>
        </is>
      </c>
      <c r="E151" s="26" t="inlineStr">
        <is>
          <t>555-4696</t>
        </is>
      </c>
      <c r="F151" s="25" t="inlineStr">
        <is>
          <t>Auxiliar de RRHH</t>
        </is>
      </c>
      <c r="G151" s="27" t="n">
        <v>12600</v>
      </c>
      <c r="H151" s="28" t="n">
        <v>45871</v>
      </c>
      <c r="I151" s="25" t="inlineStr">
        <is>
          <t>jorge.chavez250@empresa.com</t>
        </is>
      </c>
      <c r="J151" s="29" t="inlineStr">
        <is>
          <t>Activo</t>
        </is>
      </c>
    </row>
    <row r="152">
      <c r="A152" s="18" t="n">
        <v>251</v>
      </c>
      <c r="B152" s="19" t="inlineStr">
        <is>
          <t>Diego Medina Chávez</t>
        </is>
      </c>
      <c r="C152" s="19" t="inlineStr">
        <is>
          <t>Contabilidad</t>
        </is>
      </c>
      <c r="D152" s="19" t="inlineStr">
        <is>
          <t>Roberto Méndez</t>
        </is>
      </c>
      <c r="E152" s="20" t="inlineStr">
        <is>
          <t>555-7464</t>
        </is>
      </c>
      <c r="F152" s="19" t="inlineStr">
        <is>
          <t>Auditor Interno</t>
        </is>
      </c>
      <c r="G152" s="21" t="n">
        <v>19800</v>
      </c>
      <c r="H152" s="22" t="n">
        <v>43158</v>
      </c>
      <c r="I152" s="19" t="inlineStr">
        <is>
          <t>diego.medina@empresa.com</t>
        </is>
      </c>
      <c r="J152" s="23" t="inlineStr">
        <is>
          <t>Activo</t>
        </is>
      </c>
    </row>
    <row r="153">
      <c r="A153" s="24" t="n">
        <v>252</v>
      </c>
      <c r="B153" s="25" t="inlineStr">
        <is>
          <t>María Castillo Ramírez</t>
        </is>
      </c>
      <c r="C153" s="25" t="inlineStr">
        <is>
          <t>Marketing</t>
        </is>
      </c>
      <c r="D153" s="25" t="inlineStr">
        <is>
          <t>Sofía Castro</t>
        </is>
      </c>
      <c r="E153" s="26" t="inlineStr">
        <is>
          <t>555-7242</t>
        </is>
      </c>
      <c r="F153" s="25" t="inlineStr">
        <is>
          <t>Coordinador de Marketing</t>
        </is>
      </c>
      <c r="G153" s="27" t="n">
        <v>25800</v>
      </c>
      <c r="H153" s="28" t="n">
        <v>45716</v>
      </c>
      <c r="I153" s="25" t="inlineStr">
        <is>
          <t>maria.castillo252@empresa.com</t>
        </is>
      </c>
      <c r="J153" s="29" t="inlineStr">
        <is>
          <t>Activo</t>
        </is>
      </c>
    </row>
    <row r="154">
      <c r="A154" s="18" t="n">
        <v>253</v>
      </c>
      <c r="B154" s="19" t="inlineStr">
        <is>
          <t>María Gutiérrez Rodríguez</t>
        </is>
      </c>
      <c r="C154" s="19" t="inlineStr">
        <is>
          <t>Recursos Humanos</t>
        </is>
      </c>
      <c r="D154" s="19" t="inlineStr">
        <is>
          <t>Elena Pastrana</t>
        </is>
      </c>
      <c r="E154" s="20" t="inlineStr">
        <is>
          <t>555-6374</t>
        </is>
      </c>
      <c r="F154" s="19" t="inlineStr">
        <is>
          <t>Auxiliar de RRHH</t>
        </is>
      </c>
      <c r="G154" s="21" t="n">
        <v>16000</v>
      </c>
      <c r="H154" s="22" t="n">
        <v>45599</v>
      </c>
      <c r="I154" s="19" t="inlineStr">
        <is>
          <t>maria.gutierrez@empresa.com</t>
        </is>
      </c>
      <c r="J154" s="23" t="inlineStr">
        <is>
          <t>Activo</t>
        </is>
      </c>
    </row>
    <row r="155">
      <c r="A155" s="24" t="n">
        <v>254</v>
      </c>
      <c r="B155" s="25" t="inlineStr">
        <is>
          <t>Luis Álvarez Rivera</t>
        </is>
      </c>
      <c r="C155" s="25" t="inlineStr">
        <is>
          <t>Recursos Humanos</t>
        </is>
      </c>
      <c r="D155" s="25" t="inlineStr">
        <is>
          <t>Elena Pastrana</t>
        </is>
      </c>
      <c r="E155" s="26" t="inlineStr">
        <is>
          <t>555-7689</t>
        </is>
      </c>
      <c r="F155" s="25" t="inlineStr">
        <is>
          <t>Generalista de RRHH</t>
        </is>
      </c>
      <c r="G155" s="27" t="n">
        <v>25500</v>
      </c>
      <c r="H155" s="28" t="n">
        <v>43578</v>
      </c>
      <c r="I155" s="25" t="inlineStr">
        <is>
          <t>luis.alvarez@empresa.com</t>
        </is>
      </c>
      <c r="J155" s="29" t="inlineStr">
        <is>
          <t>Activo</t>
        </is>
      </c>
    </row>
    <row r="156">
      <c r="A156" s="18" t="n">
        <v>255</v>
      </c>
      <c r="B156" s="19" t="inlineStr">
        <is>
          <t>Ana Hernández Morales</t>
        </is>
      </c>
      <c r="C156" s="19" t="inlineStr">
        <is>
          <t>Ventas</t>
        </is>
      </c>
      <c r="D156" s="19" t="inlineStr">
        <is>
          <t>Laura Gómez</t>
        </is>
      </c>
      <c r="E156" s="20" t="inlineStr">
        <is>
          <t>555-9807</t>
        </is>
      </c>
      <c r="F156" s="19" t="inlineStr">
        <is>
          <t>Ejecutivo de Ventas</t>
        </is>
      </c>
      <c r="G156" s="21" t="n">
        <v>19400</v>
      </c>
      <c r="H156" s="22" t="n">
        <v>43656</v>
      </c>
      <c r="I156" s="19" t="inlineStr">
        <is>
          <t>ana.hernandez@empresa.com</t>
        </is>
      </c>
      <c r="J156" s="23" t="inlineStr">
        <is>
          <t>Activo</t>
        </is>
      </c>
    </row>
    <row r="157">
      <c r="A157" s="24" t="n">
        <v>256</v>
      </c>
      <c r="B157" s="25" t="inlineStr">
        <is>
          <t>Lucía Gutiérrez Mendoza</t>
        </is>
      </c>
      <c r="C157" s="25" t="inlineStr">
        <is>
          <t>Marketing</t>
        </is>
      </c>
      <c r="D157" s="25" t="inlineStr">
        <is>
          <t>Sofía Castro</t>
        </is>
      </c>
      <c r="E157" s="26" t="inlineStr">
        <is>
          <t>555-7797</t>
        </is>
      </c>
      <c r="F157" s="25" t="inlineStr">
        <is>
          <t>Gerente de Marca</t>
        </is>
      </c>
      <c r="G157" s="27" t="n">
        <v>35300</v>
      </c>
      <c r="H157" s="28" t="n">
        <v>45783</v>
      </c>
      <c r="I157" s="25" t="inlineStr">
        <is>
          <t>lucia.gutierrez@empresa.com</t>
        </is>
      </c>
      <c r="J157" s="29" t="inlineStr">
        <is>
          <t>Activo</t>
        </is>
      </c>
    </row>
    <row r="158">
      <c r="A158" s="18" t="n">
        <v>257</v>
      </c>
      <c r="B158" s="19" t="inlineStr">
        <is>
          <t>Patricia Cruz Vázquez</t>
        </is>
      </c>
      <c r="C158" s="19" t="inlineStr">
        <is>
          <t>Sistemas</t>
        </is>
      </c>
      <c r="D158" s="19" t="inlineStr">
        <is>
          <t>Miguel López</t>
        </is>
      </c>
      <c r="E158" s="20" t="inlineStr">
        <is>
          <t>555-4559</t>
        </is>
      </c>
      <c r="F158" s="19" t="inlineStr">
        <is>
          <t>Programador</t>
        </is>
      </c>
      <c r="G158" s="21" t="n">
        <v>31600</v>
      </c>
      <c r="H158" s="22" t="n">
        <v>44917</v>
      </c>
      <c r="I158" s="19" t="inlineStr">
        <is>
          <t>patricia.cruz@empresa.com</t>
        </is>
      </c>
      <c r="J158" s="23" t="inlineStr">
        <is>
          <t>Activo</t>
        </is>
      </c>
    </row>
    <row r="159">
      <c r="A159" s="24" t="n">
        <v>258</v>
      </c>
      <c r="B159" s="25" t="inlineStr">
        <is>
          <t>Sofía Medina Ramírez</t>
        </is>
      </c>
      <c r="C159" s="25" t="inlineStr">
        <is>
          <t>Ventas</t>
        </is>
      </c>
      <c r="D159" s="25" t="inlineStr">
        <is>
          <t>Laura Gómez</t>
        </is>
      </c>
      <c r="E159" s="26" t="inlineStr">
        <is>
          <t>555-6876</t>
        </is>
      </c>
      <c r="F159" s="25" t="inlineStr">
        <is>
          <t>Coordinador de Ventas</t>
        </is>
      </c>
      <c r="G159" s="27" t="n">
        <v>24500</v>
      </c>
      <c r="H159" s="28" t="n">
        <v>43349</v>
      </c>
      <c r="I159" s="25" t="inlineStr">
        <is>
          <t>sofia.medina@empresa.com</t>
        </is>
      </c>
      <c r="J159" s="29" t="inlineStr">
        <is>
          <t>Activo</t>
        </is>
      </c>
    </row>
    <row r="160">
      <c r="A160" s="18" t="n">
        <v>259</v>
      </c>
      <c r="B160" s="19" t="inlineStr">
        <is>
          <t>Pedro Gómez Medina</t>
        </is>
      </c>
      <c r="C160" s="19" t="inlineStr">
        <is>
          <t>Operaciones</t>
        </is>
      </c>
      <c r="D160" s="19" t="inlineStr">
        <is>
          <t>Alejandro Ruiz</t>
        </is>
      </c>
      <c r="E160" s="20" t="inlineStr">
        <is>
          <t>555-4475</t>
        </is>
      </c>
      <c r="F160" s="19" t="inlineStr">
        <is>
          <t>Gerente de Operaciones</t>
        </is>
      </c>
      <c r="G160" s="21" t="n">
        <v>37500</v>
      </c>
      <c r="H160" s="22" t="n">
        <v>45729</v>
      </c>
      <c r="I160" s="19" t="inlineStr">
        <is>
          <t>pedro.gomez@empresa.com</t>
        </is>
      </c>
      <c r="J160" s="23" t="inlineStr">
        <is>
          <t>Activo</t>
        </is>
      </c>
    </row>
    <row r="161">
      <c r="A161" s="24" t="n">
        <v>260</v>
      </c>
      <c r="B161" s="25" t="inlineStr">
        <is>
          <t>Juan Ruiz Chávez</t>
        </is>
      </c>
      <c r="C161" s="25" t="inlineStr">
        <is>
          <t>Sistemas</t>
        </is>
      </c>
      <c r="D161" s="25" t="inlineStr">
        <is>
          <t>Miguel López</t>
        </is>
      </c>
      <c r="E161" s="26" t="inlineStr">
        <is>
          <t>555-4362</t>
        </is>
      </c>
      <c r="F161" s="25" t="inlineStr">
        <is>
          <t>Analista de Sistemas</t>
        </is>
      </c>
      <c r="G161" s="27" t="n">
        <v>23600</v>
      </c>
      <c r="H161" s="28" t="n">
        <v>43382</v>
      </c>
      <c r="I161" s="25" t="inlineStr">
        <is>
          <t>juan.ruiz260@empresa.com</t>
        </is>
      </c>
      <c r="J161" s="29" t="inlineStr">
        <is>
          <t>Activo</t>
        </is>
      </c>
    </row>
    <row r="162">
      <c r="A162" s="18" t="n">
        <v>261</v>
      </c>
      <c r="B162" s="19" t="inlineStr">
        <is>
          <t>Isabel González Reyes</t>
        </is>
      </c>
      <c r="C162" s="19" t="inlineStr">
        <is>
          <t>Compras</t>
        </is>
      </c>
      <c r="D162" s="19" t="inlineStr">
        <is>
          <t>Carlos Díaz</t>
        </is>
      </c>
      <c r="E162" s="20" t="inlineStr">
        <is>
          <t>555-3417</t>
        </is>
      </c>
      <c r="F162" s="19" t="inlineStr">
        <is>
          <t>Analista de Compras</t>
        </is>
      </c>
      <c r="G162" s="21" t="n">
        <v>19600</v>
      </c>
      <c r="H162" s="22" t="n">
        <v>45542</v>
      </c>
      <c r="I162" s="19" t="inlineStr">
        <is>
          <t>isabel.gonzalez@empresa.com</t>
        </is>
      </c>
      <c r="J162" s="23" t="inlineStr">
        <is>
          <t>Activo</t>
        </is>
      </c>
    </row>
    <row r="163">
      <c r="A163" s="24" t="n">
        <v>262</v>
      </c>
      <c r="B163" s="25" t="inlineStr">
        <is>
          <t>Beatriz Díaz Díaz</t>
        </is>
      </c>
      <c r="C163" s="25" t="inlineStr">
        <is>
          <t>Contabilidad</t>
        </is>
      </c>
      <c r="D163" s="25" t="inlineStr">
        <is>
          <t>Roberto Méndez</t>
        </is>
      </c>
      <c r="E163" s="26" t="inlineStr">
        <is>
          <t>555-2801</t>
        </is>
      </c>
      <c r="F163" s="25" t="inlineStr">
        <is>
          <t>Auditor Interno</t>
        </is>
      </c>
      <c r="G163" s="27" t="n">
        <v>22600</v>
      </c>
      <c r="H163" s="28" t="n">
        <v>45808</v>
      </c>
      <c r="I163" s="25" t="inlineStr">
        <is>
          <t>beatriz.diaz262@empresa.com</t>
        </is>
      </c>
      <c r="J163" s="29" t="inlineStr">
        <is>
          <t>Activo</t>
        </is>
      </c>
    </row>
    <row r="164">
      <c r="A164" s="18" t="n">
        <v>263</v>
      </c>
      <c r="B164" s="19" t="inlineStr">
        <is>
          <t>Carlos Pérez Ramírez</t>
        </is>
      </c>
      <c r="C164" s="19" t="inlineStr">
        <is>
          <t>Operaciones</t>
        </is>
      </c>
      <c r="D164" s="19" t="inlineStr">
        <is>
          <t>Alejandro Ruiz</t>
        </is>
      </c>
      <c r="E164" s="20" t="inlineStr">
        <is>
          <t>555-6304</t>
        </is>
      </c>
      <c r="F164" s="19" t="inlineStr">
        <is>
          <t>Supervisor de Planta</t>
        </is>
      </c>
      <c r="G164" s="21" t="n">
        <v>33500</v>
      </c>
      <c r="H164" s="22" t="n">
        <v>43165</v>
      </c>
      <c r="I164" s="19" t="inlineStr">
        <is>
          <t>carlos.perez@empresa.com</t>
        </is>
      </c>
      <c r="J164" s="23" t="inlineStr">
        <is>
          <t>Activo</t>
        </is>
      </c>
    </row>
    <row r="165">
      <c r="A165" s="24" t="n">
        <v>264</v>
      </c>
      <c r="B165" s="25" t="inlineStr">
        <is>
          <t>Ana Díaz Mendoza</t>
        </is>
      </c>
      <c r="C165" s="25" t="inlineStr">
        <is>
          <t>Recursos Humanos</t>
        </is>
      </c>
      <c r="D165" s="25" t="inlineStr">
        <is>
          <t>Elena Pastrana</t>
        </is>
      </c>
      <c r="E165" s="26" t="inlineStr">
        <is>
          <t>555-8802</t>
        </is>
      </c>
      <c r="F165" s="25" t="inlineStr">
        <is>
          <t>Auxiliar de RRHH</t>
        </is>
      </c>
      <c r="G165" s="27" t="n">
        <v>12000</v>
      </c>
      <c r="H165" s="28" t="n">
        <v>44937</v>
      </c>
      <c r="I165" s="25" t="inlineStr">
        <is>
          <t>ana.diaz264@empresa.com</t>
        </is>
      </c>
      <c r="J165" s="29" t="inlineStr">
        <is>
          <t>Activo</t>
        </is>
      </c>
    </row>
    <row r="166">
      <c r="A166" s="18" t="n">
        <v>265</v>
      </c>
      <c r="B166" s="19" t="inlineStr">
        <is>
          <t>Roberto Reyes Gómez</t>
        </is>
      </c>
      <c r="C166" s="19" t="inlineStr">
        <is>
          <t>Recursos Humanos</t>
        </is>
      </c>
      <c r="D166" s="19" t="inlineStr">
        <is>
          <t>Elena Pastrana</t>
        </is>
      </c>
      <c r="E166" s="20" t="inlineStr">
        <is>
          <t>555-1710</t>
        </is>
      </c>
      <c r="F166" s="19" t="inlineStr">
        <is>
          <t>Analista de Nómina</t>
        </is>
      </c>
      <c r="G166" s="21" t="n">
        <v>25000</v>
      </c>
      <c r="H166" s="22" t="n">
        <v>46079</v>
      </c>
      <c r="I166" s="19" t="inlineStr">
        <is>
          <t>roberto.reyes265@empresa.com</t>
        </is>
      </c>
      <c r="J166" s="23" t="inlineStr">
        <is>
          <t>Activo</t>
        </is>
      </c>
    </row>
    <row r="167">
      <c r="A167" s="24" t="n">
        <v>266</v>
      </c>
      <c r="B167" s="25" t="inlineStr">
        <is>
          <t>Roberto Hernández Castillo</t>
        </is>
      </c>
      <c r="C167" s="25" t="inlineStr">
        <is>
          <t>Marketing</t>
        </is>
      </c>
      <c r="D167" s="25" t="inlineStr">
        <is>
          <t>Sofía Castro</t>
        </is>
      </c>
      <c r="E167" s="26" t="inlineStr">
        <is>
          <t>555-8847</t>
        </is>
      </c>
      <c r="F167" s="25" t="inlineStr">
        <is>
          <t>Especialista SEO</t>
        </is>
      </c>
      <c r="G167" s="27" t="n">
        <v>17200</v>
      </c>
      <c r="H167" s="28" t="n">
        <v>44746</v>
      </c>
      <c r="I167" s="25" t="inlineStr">
        <is>
          <t>roberto.hernandez@empresa.com</t>
        </is>
      </c>
      <c r="J167" s="29" t="inlineStr">
        <is>
          <t>Activo</t>
        </is>
      </c>
    </row>
    <row r="168">
      <c r="A168" s="18" t="n">
        <v>267</v>
      </c>
      <c r="B168" s="19" t="inlineStr">
        <is>
          <t>María Morales Ortiz</t>
        </is>
      </c>
      <c r="C168" s="19" t="inlineStr">
        <is>
          <t>Recursos Humanos</t>
        </is>
      </c>
      <c r="D168" s="19" t="inlineStr">
        <is>
          <t>Elena Pastrana</t>
        </is>
      </c>
      <c r="E168" s="20" t="inlineStr">
        <is>
          <t>555-6277</t>
        </is>
      </c>
      <c r="F168" s="19" t="inlineStr">
        <is>
          <t>Auxiliar de RRHH</t>
        </is>
      </c>
      <c r="G168" s="21" t="n">
        <v>12100</v>
      </c>
      <c r="H168" s="22" t="n">
        <v>45592</v>
      </c>
      <c r="I168" s="19" t="inlineStr">
        <is>
          <t>maria.morales@empresa.com</t>
        </is>
      </c>
      <c r="J168" s="23" t="inlineStr">
        <is>
          <t>Activo</t>
        </is>
      </c>
    </row>
    <row r="169">
      <c r="A169" s="24" t="n">
        <v>268</v>
      </c>
      <c r="B169" s="25" t="inlineStr">
        <is>
          <t>Carlos Martínez Cruz</t>
        </is>
      </c>
      <c r="C169" s="25" t="inlineStr">
        <is>
          <t>Marketing</t>
        </is>
      </c>
      <c r="D169" s="25" t="inlineStr">
        <is>
          <t>Sofía Castro</t>
        </is>
      </c>
      <c r="E169" s="26" t="inlineStr">
        <is>
          <t>555-9692</t>
        </is>
      </c>
      <c r="F169" s="25" t="inlineStr">
        <is>
          <t>Coordinador de Marketing</t>
        </is>
      </c>
      <c r="G169" s="27" t="n">
        <v>22400</v>
      </c>
      <c r="H169" s="28" t="n">
        <v>44308</v>
      </c>
      <c r="I169" s="25" t="inlineStr">
        <is>
          <t>carlos.martinez@empresa.com</t>
        </is>
      </c>
      <c r="J169" s="29" t="inlineStr">
        <is>
          <t>Activo</t>
        </is>
      </c>
    </row>
    <row r="170">
      <c r="A170" s="18" t="n">
        <v>269</v>
      </c>
      <c r="B170" s="19" t="inlineStr">
        <is>
          <t>Gabriela Vázquez Gómez</t>
        </is>
      </c>
      <c r="C170" s="19" t="inlineStr">
        <is>
          <t>Operaciones</t>
        </is>
      </c>
      <c r="D170" s="19" t="inlineStr">
        <is>
          <t>Alejandro Ruiz</t>
        </is>
      </c>
      <c r="E170" s="20" t="inlineStr">
        <is>
          <t>555-8046</t>
        </is>
      </c>
      <c r="F170" s="19" t="inlineStr">
        <is>
          <t>Operador de Logística</t>
        </is>
      </c>
      <c r="G170" s="21" t="n">
        <v>12700</v>
      </c>
      <c r="H170" s="22" t="n">
        <v>44950</v>
      </c>
      <c r="I170" s="19" t="inlineStr">
        <is>
          <t>gabriela.vazquez269@empresa.com</t>
        </is>
      </c>
      <c r="J170" s="23" t="inlineStr">
        <is>
          <t>Activo</t>
        </is>
      </c>
    </row>
    <row r="171">
      <c r="A171" s="24" t="n">
        <v>270</v>
      </c>
      <c r="B171" s="25" t="inlineStr">
        <is>
          <t>Carmen Sánchez Rivera</t>
        </is>
      </c>
      <c r="C171" s="25" t="inlineStr">
        <is>
          <t>Recursos Humanos</t>
        </is>
      </c>
      <c r="D171" s="25" t="inlineStr">
        <is>
          <t>Elena Pastrana</t>
        </is>
      </c>
      <c r="E171" s="26" t="inlineStr">
        <is>
          <t>555-2557</t>
        </is>
      </c>
      <c r="F171" s="25" t="inlineStr">
        <is>
          <t>Gerente de RRHH</t>
        </is>
      </c>
      <c r="G171" s="27" t="n">
        <v>33800</v>
      </c>
      <c r="H171" s="28" t="n">
        <v>44381</v>
      </c>
      <c r="I171" s="25" t="inlineStr">
        <is>
          <t>carmen.sanchez@empresa.com</t>
        </is>
      </c>
      <c r="J171" s="29" t="inlineStr">
        <is>
          <t>Activo</t>
        </is>
      </c>
    </row>
    <row r="172">
      <c r="A172" s="18" t="n">
        <v>271</v>
      </c>
      <c r="B172" s="19" t="inlineStr">
        <is>
          <t>Andrea Martínez Ramírez</t>
        </is>
      </c>
      <c r="C172" s="19" t="inlineStr">
        <is>
          <t>Compras</t>
        </is>
      </c>
      <c r="D172" s="19" t="inlineStr">
        <is>
          <t>Carlos Díaz</t>
        </is>
      </c>
      <c r="E172" s="20" t="inlineStr">
        <is>
          <t>555-2494</t>
        </is>
      </c>
      <c r="F172" s="19" t="inlineStr">
        <is>
          <t>Gerente de Compras</t>
        </is>
      </c>
      <c r="G172" s="21" t="n">
        <v>32500</v>
      </c>
      <c r="H172" s="22" t="n">
        <v>43450</v>
      </c>
      <c r="I172" s="19" t="inlineStr">
        <is>
          <t>andrea.martinez@empresa.com</t>
        </is>
      </c>
      <c r="J172" s="23" t="inlineStr">
        <is>
          <t>Activo</t>
        </is>
      </c>
    </row>
    <row r="173">
      <c r="A173" s="24" t="n">
        <v>272</v>
      </c>
      <c r="B173" s="25" t="inlineStr">
        <is>
          <t>María Mendoza Mendoza</t>
        </is>
      </c>
      <c r="C173" s="25" t="inlineStr">
        <is>
          <t>Sistemas</t>
        </is>
      </c>
      <c r="D173" s="25" t="inlineStr">
        <is>
          <t>Miguel López</t>
        </is>
      </c>
      <c r="E173" s="26" t="inlineStr">
        <is>
          <t>555-1982</t>
        </is>
      </c>
      <c r="F173" s="25" t="inlineStr">
        <is>
          <t>Analista de Sistemas</t>
        </is>
      </c>
      <c r="G173" s="27" t="n">
        <v>37700</v>
      </c>
      <c r="H173" s="28" t="n">
        <v>45503</v>
      </c>
      <c r="I173" s="25" t="inlineStr">
        <is>
          <t>maria.mendoza272@empresa.com</t>
        </is>
      </c>
      <c r="J173" s="29" t="inlineStr">
        <is>
          <t>Activo</t>
        </is>
      </c>
    </row>
    <row r="174">
      <c r="A174" s="18" t="n">
        <v>273</v>
      </c>
      <c r="B174" s="19" t="inlineStr">
        <is>
          <t>Isabel Sánchez Gutiérrez</t>
        </is>
      </c>
      <c r="C174" s="19" t="inlineStr">
        <is>
          <t>Ventas</t>
        </is>
      </c>
      <c r="D174" s="19" t="inlineStr">
        <is>
          <t>Laura Gómez</t>
        </is>
      </c>
      <c r="E174" s="20" t="inlineStr">
        <is>
          <t>555-7929</t>
        </is>
      </c>
      <c r="F174" s="19" t="inlineStr">
        <is>
          <t>Gerente de Ventas</t>
        </is>
      </c>
      <c r="G174" s="21" t="n">
        <v>33200</v>
      </c>
      <c r="H174" s="22" t="n">
        <v>46054</v>
      </c>
      <c r="I174" s="19" t="inlineStr">
        <is>
          <t>isabel.sanchez@empresa.com</t>
        </is>
      </c>
      <c r="J174" s="23" t="inlineStr">
        <is>
          <t>Activo</t>
        </is>
      </c>
    </row>
    <row r="175">
      <c r="A175" s="24" t="n">
        <v>274</v>
      </c>
      <c r="B175" s="25" t="inlineStr">
        <is>
          <t>Elena Ramírez Gómez</t>
        </is>
      </c>
      <c r="C175" s="25" t="inlineStr">
        <is>
          <t>Contabilidad</t>
        </is>
      </c>
      <c r="D175" s="25" t="inlineStr">
        <is>
          <t>Roberto Méndez</t>
        </is>
      </c>
      <c r="E175" s="26" t="inlineStr">
        <is>
          <t>555-8900</t>
        </is>
      </c>
      <c r="F175" s="25" t="inlineStr">
        <is>
          <t>Contador</t>
        </is>
      </c>
      <c r="G175" s="27" t="n">
        <v>21900</v>
      </c>
      <c r="H175" s="28" t="n">
        <v>44019</v>
      </c>
      <c r="I175" s="25" t="inlineStr">
        <is>
          <t>elena.ramirez274@empresa.com</t>
        </is>
      </c>
      <c r="J175" s="29" t="inlineStr">
        <is>
          <t>Activo</t>
        </is>
      </c>
    </row>
    <row r="176">
      <c r="A176" s="18" t="n">
        <v>275</v>
      </c>
      <c r="B176" s="19" t="inlineStr">
        <is>
          <t>Lucía Medina Jiménez</t>
        </is>
      </c>
      <c r="C176" s="19" t="inlineStr">
        <is>
          <t>Sistemas</t>
        </is>
      </c>
      <c r="D176" s="19" t="inlineStr">
        <is>
          <t>Miguel López</t>
        </is>
      </c>
      <c r="E176" s="20" t="inlineStr">
        <is>
          <t>555-4705</t>
        </is>
      </c>
      <c r="F176" s="19" t="inlineStr">
        <is>
          <t>Programador</t>
        </is>
      </c>
      <c r="G176" s="21" t="n">
        <v>28600</v>
      </c>
      <c r="H176" s="22" t="n">
        <v>44858</v>
      </c>
      <c r="I176" s="19" t="inlineStr">
        <is>
          <t>lucia.medina275@empresa.com</t>
        </is>
      </c>
      <c r="J176" s="23" t="inlineStr">
        <is>
          <t>Activo</t>
        </is>
      </c>
    </row>
    <row r="177">
      <c r="A177" s="24" t="n">
        <v>276</v>
      </c>
      <c r="B177" s="25" t="inlineStr">
        <is>
          <t>Javier Rivera Cruz</t>
        </is>
      </c>
      <c r="C177" s="25" t="inlineStr">
        <is>
          <t>Contabilidad</t>
        </is>
      </c>
      <c r="D177" s="25" t="inlineStr">
        <is>
          <t>Roberto Méndez</t>
        </is>
      </c>
      <c r="E177" s="26" t="inlineStr">
        <is>
          <t>555-5381</t>
        </is>
      </c>
      <c r="F177" s="25" t="inlineStr">
        <is>
          <t>Auxiliar Contable</t>
        </is>
      </c>
      <c r="G177" s="27" t="n">
        <v>17900</v>
      </c>
      <c r="H177" s="28" t="n">
        <v>43219</v>
      </c>
      <c r="I177" s="25" t="inlineStr">
        <is>
          <t>javier.rivera@empresa.com</t>
        </is>
      </c>
      <c r="J177" s="29" t="inlineStr">
        <is>
          <t>Activo</t>
        </is>
      </c>
    </row>
    <row r="178">
      <c r="A178" s="18" t="n">
        <v>277</v>
      </c>
      <c r="B178" s="19" t="inlineStr">
        <is>
          <t>Fernando Ramos Hernández</t>
        </is>
      </c>
      <c r="C178" s="19" t="inlineStr">
        <is>
          <t>Sistemas</t>
        </is>
      </c>
      <c r="D178" s="19" t="inlineStr">
        <is>
          <t>Miguel López</t>
        </is>
      </c>
      <c r="E178" s="20" t="inlineStr">
        <is>
          <t>555-3972</t>
        </is>
      </c>
      <c r="F178" s="19" t="inlineStr">
        <is>
          <t>Soporte Técnico</t>
        </is>
      </c>
      <c r="G178" s="21" t="n">
        <v>19700</v>
      </c>
      <c r="H178" s="22" t="n">
        <v>43687</v>
      </c>
      <c r="I178" s="19" t="inlineStr">
        <is>
          <t>fernando.ramos@empresa.com</t>
        </is>
      </c>
      <c r="J178" s="23" t="inlineStr">
        <is>
          <t>Activo</t>
        </is>
      </c>
    </row>
    <row r="179">
      <c r="A179" s="24" t="n">
        <v>278</v>
      </c>
      <c r="B179" s="25" t="inlineStr">
        <is>
          <t>Diego Torres Díaz</t>
        </is>
      </c>
      <c r="C179" s="25" t="inlineStr">
        <is>
          <t>Marketing</t>
        </is>
      </c>
      <c r="D179" s="25" t="inlineStr">
        <is>
          <t>Sofía Castro</t>
        </is>
      </c>
      <c r="E179" s="26" t="inlineStr">
        <is>
          <t>555-9691</t>
        </is>
      </c>
      <c r="F179" s="25" t="inlineStr">
        <is>
          <t>Especialista SEO</t>
        </is>
      </c>
      <c r="G179" s="27" t="n">
        <v>17700</v>
      </c>
      <c r="H179" s="28" t="n">
        <v>43982</v>
      </c>
      <c r="I179" s="25" t="inlineStr">
        <is>
          <t>diego.torres@empresa.com</t>
        </is>
      </c>
      <c r="J179" s="29" t="inlineStr">
        <is>
          <t>Activo</t>
        </is>
      </c>
    </row>
    <row r="180">
      <c r="A180" s="18" t="n">
        <v>279</v>
      </c>
      <c r="B180" s="19" t="inlineStr">
        <is>
          <t>Alejandro Sánchez López</t>
        </is>
      </c>
      <c r="C180" s="19" t="inlineStr">
        <is>
          <t>Sistemas</t>
        </is>
      </c>
      <c r="D180" s="19" t="inlineStr">
        <is>
          <t>Miguel López</t>
        </is>
      </c>
      <c r="E180" s="20" t="inlineStr">
        <is>
          <t>555-2391</t>
        </is>
      </c>
      <c r="F180" s="19" t="inlineStr">
        <is>
          <t>Soporte Técnico</t>
        </is>
      </c>
      <c r="G180" s="21" t="n">
        <v>30100</v>
      </c>
      <c r="H180" s="22" t="n">
        <v>43316</v>
      </c>
      <c r="I180" s="19" t="inlineStr">
        <is>
          <t>alejandro.sanchez@empresa.com</t>
        </is>
      </c>
      <c r="J180" s="23" t="inlineStr">
        <is>
          <t>Activo</t>
        </is>
      </c>
    </row>
    <row r="181">
      <c r="A181" s="24" t="n">
        <v>280</v>
      </c>
      <c r="B181" s="25" t="inlineStr">
        <is>
          <t>Javier Cruz Ruiz</t>
        </is>
      </c>
      <c r="C181" s="25" t="inlineStr">
        <is>
          <t>Marketing</t>
        </is>
      </c>
      <c r="D181" s="25" t="inlineStr">
        <is>
          <t>Sofía Castro</t>
        </is>
      </c>
      <c r="E181" s="26" t="inlineStr">
        <is>
          <t>555-8259</t>
        </is>
      </c>
      <c r="F181" s="25" t="inlineStr">
        <is>
          <t>Especialista SEO</t>
        </is>
      </c>
      <c r="G181" s="27" t="n">
        <v>20700</v>
      </c>
      <c r="H181" s="28" t="n">
        <v>45812</v>
      </c>
      <c r="I181" s="25" t="inlineStr">
        <is>
          <t>javier.cruz@empresa.com</t>
        </is>
      </c>
      <c r="J181" s="29" t="inlineStr">
        <is>
          <t>Activo</t>
        </is>
      </c>
    </row>
    <row r="182">
      <c r="A182" s="18" t="n">
        <v>281</v>
      </c>
      <c r="B182" s="19" t="inlineStr">
        <is>
          <t>Gabriela Castillo Vázquez</t>
        </is>
      </c>
      <c r="C182" s="19" t="inlineStr">
        <is>
          <t>Sistemas</t>
        </is>
      </c>
      <c r="D182" s="19" t="inlineStr">
        <is>
          <t>Miguel López</t>
        </is>
      </c>
      <c r="E182" s="20" t="inlineStr">
        <is>
          <t>555-2864</t>
        </is>
      </c>
      <c r="F182" s="19" t="inlineStr">
        <is>
          <t>Analista de Sistemas</t>
        </is>
      </c>
      <c r="G182" s="21" t="n">
        <v>36200</v>
      </c>
      <c r="H182" s="22" t="n">
        <v>44514</v>
      </c>
      <c r="I182" s="19" t="inlineStr">
        <is>
          <t>gabriela.castillo@empresa.com</t>
        </is>
      </c>
      <c r="J182" s="23" t="inlineStr">
        <is>
          <t>Activo</t>
        </is>
      </c>
    </row>
    <row r="183">
      <c r="A183" s="24" t="n">
        <v>282</v>
      </c>
      <c r="B183" s="25" t="inlineStr">
        <is>
          <t>Elena Gutiérrez Gutiérrez</t>
        </is>
      </c>
      <c r="C183" s="25" t="inlineStr">
        <is>
          <t>Contabilidad</t>
        </is>
      </c>
      <c r="D183" s="25" t="inlineStr">
        <is>
          <t>Roberto Méndez</t>
        </is>
      </c>
      <c r="E183" s="26" t="inlineStr">
        <is>
          <t>555-6053</t>
        </is>
      </c>
      <c r="F183" s="25" t="inlineStr">
        <is>
          <t>Gerente de Finanzas</t>
        </is>
      </c>
      <c r="G183" s="27" t="n">
        <v>47000</v>
      </c>
      <c r="H183" s="28" t="n">
        <v>43287</v>
      </c>
      <c r="I183" s="25" t="inlineStr">
        <is>
          <t>elena.gutierrez@empresa.com</t>
        </is>
      </c>
      <c r="J183" s="29" t="inlineStr">
        <is>
          <t>Activo</t>
        </is>
      </c>
    </row>
    <row r="184">
      <c r="A184" s="18" t="n">
        <v>283</v>
      </c>
      <c r="B184" s="19" t="inlineStr">
        <is>
          <t>Gabriela Ruiz Pérez</t>
        </is>
      </c>
      <c r="C184" s="19" t="inlineStr">
        <is>
          <t>Compras</t>
        </is>
      </c>
      <c r="D184" s="19" t="inlineStr">
        <is>
          <t>Carlos Díaz</t>
        </is>
      </c>
      <c r="E184" s="20" t="inlineStr">
        <is>
          <t>555-4460</t>
        </is>
      </c>
      <c r="F184" s="19" t="inlineStr">
        <is>
          <t>Especialista de Abastecimiento</t>
        </is>
      </c>
      <c r="G184" s="21" t="n">
        <v>29700</v>
      </c>
      <c r="H184" s="22" t="n">
        <v>43663</v>
      </c>
      <c r="I184" s="19" t="inlineStr">
        <is>
          <t>gabriela.ruiz283@empresa.com</t>
        </is>
      </c>
      <c r="J184" s="23" t="inlineStr">
        <is>
          <t>Activo</t>
        </is>
      </c>
    </row>
    <row r="185">
      <c r="A185" s="24" t="n">
        <v>284</v>
      </c>
      <c r="B185" s="25" t="inlineStr">
        <is>
          <t>Elena Sánchez Gómez</t>
        </is>
      </c>
      <c r="C185" s="25" t="inlineStr">
        <is>
          <t>Ventas</t>
        </is>
      </c>
      <c r="D185" s="25" t="inlineStr">
        <is>
          <t>Laura Gómez</t>
        </is>
      </c>
      <c r="E185" s="26" t="inlineStr">
        <is>
          <t>555-8055</t>
        </is>
      </c>
      <c r="F185" s="25" t="inlineStr">
        <is>
          <t>Gerente de Ventas</t>
        </is>
      </c>
      <c r="G185" s="27" t="n">
        <v>36500</v>
      </c>
      <c r="H185" s="28" t="n">
        <v>43820</v>
      </c>
      <c r="I185" s="25" t="inlineStr">
        <is>
          <t>elena.sanchez@empresa.com</t>
        </is>
      </c>
      <c r="J185" s="29" t="inlineStr">
        <is>
          <t>Activo</t>
        </is>
      </c>
    </row>
    <row r="186">
      <c r="A186" s="18" t="n">
        <v>285</v>
      </c>
      <c r="B186" s="19" t="inlineStr">
        <is>
          <t>Isabel Ortiz Rodríguez</t>
        </is>
      </c>
      <c r="C186" s="19" t="inlineStr">
        <is>
          <t>Contabilidad</t>
        </is>
      </c>
      <c r="D186" s="19" t="inlineStr">
        <is>
          <t>Roberto Méndez</t>
        </is>
      </c>
      <c r="E186" s="20" t="inlineStr">
        <is>
          <t>555-7505</t>
        </is>
      </c>
      <c r="F186" s="19" t="inlineStr">
        <is>
          <t>Auditor Interno</t>
        </is>
      </c>
      <c r="G186" s="21" t="n">
        <v>19200</v>
      </c>
      <c r="H186" s="22" t="n">
        <v>46140</v>
      </c>
      <c r="I186" s="19" t="inlineStr">
        <is>
          <t>isabel.ortiz@empresa.com</t>
        </is>
      </c>
      <c r="J186" s="30" t="inlineStr">
        <is>
          <t>Inactivo</t>
        </is>
      </c>
    </row>
    <row r="187">
      <c r="A187" s="24" t="n">
        <v>286</v>
      </c>
      <c r="B187" s="25" t="inlineStr">
        <is>
          <t>Silvia Torres Medina</t>
        </is>
      </c>
      <c r="C187" s="25" t="inlineStr">
        <is>
          <t>Sistemas</t>
        </is>
      </c>
      <c r="D187" s="25" t="inlineStr">
        <is>
          <t>Miguel López</t>
        </is>
      </c>
      <c r="E187" s="26" t="inlineStr">
        <is>
          <t>555-7626</t>
        </is>
      </c>
      <c r="F187" s="25" t="inlineStr">
        <is>
          <t>Gerente de TI</t>
        </is>
      </c>
      <c r="G187" s="27" t="n">
        <v>51000</v>
      </c>
      <c r="H187" s="28" t="n">
        <v>46007</v>
      </c>
      <c r="I187" s="25" t="inlineStr">
        <is>
          <t>silvia.torres@empresa.com</t>
        </is>
      </c>
      <c r="J187" s="29" t="inlineStr">
        <is>
          <t>Activo</t>
        </is>
      </c>
    </row>
    <row r="188">
      <c r="A188" s="18" t="n">
        <v>287</v>
      </c>
      <c r="B188" s="19" t="inlineStr">
        <is>
          <t>Elena Gómez Flores</t>
        </is>
      </c>
      <c r="C188" s="19" t="inlineStr">
        <is>
          <t>Ventas</t>
        </is>
      </c>
      <c r="D188" s="19" t="inlineStr">
        <is>
          <t>Laura Gómez</t>
        </is>
      </c>
      <c r="E188" s="20" t="inlineStr">
        <is>
          <t>555-8538</t>
        </is>
      </c>
      <c r="F188" s="19" t="inlineStr">
        <is>
          <t>Coordinador de Ventas</t>
        </is>
      </c>
      <c r="G188" s="21" t="n">
        <v>18400</v>
      </c>
      <c r="H188" s="22" t="n">
        <v>45925</v>
      </c>
      <c r="I188" s="19" t="inlineStr">
        <is>
          <t>elena.gomez287@empresa.com</t>
        </is>
      </c>
      <c r="J188" s="23" t="inlineStr">
        <is>
          <t>Activo</t>
        </is>
      </c>
    </row>
    <row r="189">
      <c r="A189" s="24" t="n">
        <v>288</v>
      </c>
      <c r="B189" s="25" t="inlineStr">
        <is>
          <t>Luis Vázquez Medina</t>
        </is>
      </c>
      <c r="C189" s="25" t="inlineStr">
        <is>
          <t>Ventas</t>
        </is>
      </c>
      <c r="D189" s="25" t="inlineStr">
        <is>
          <t>Laura Gómez</t>
        </is>
      </c>
      <c r="E189" s="26" t="inlineStr">
        <is>
          <t>555-7560</t>
        </is>
      </c>
      <c r="F189" s="25" t="inlineStr">
        <is>
          <t>Asesor Comercial</t>
        </is>
      </c>
      <c r="G189" s="27" t="n">
        <v>22700</v>
      </c>
      <c r="H189" s="28" t="n">
        <v>45247</v>
      </c>
      <c r="I189" s="25" t="inlineStr">
        <is>
          <t>luis.vazquez@empresa.com</t>
        </is>
      </c>
      <c r="J189" s="29" t="inlineStr">
        <is>
          <t>Activo</t>
        </is>
      </c>
    </row>
    <row r="190">
      <c r="A190" s="18" t="n">
        <v>289</v>
      </c>
      <c r="B190" s="19" t="inlineStr">
        <is>
          <t>Beatriz Hernández Mendoza</t>
        </is>
      </c>
      <c r="C190" s="19" t="inlineStr">
        <is>
          <t>Sistemas</t>
        </is>
      </c>
      <c r="D190" s="19" t="inlineStr">
        <is>
          <t>Miguel López</t>
        </is>
      </c>
      <c r="E190" s="20" t="inlineStr">
        <is>
          <t>555-3754</t>
        </is>
      </c>
      <c r="F190" s="19" t="inlineStr">
        <is>
          <t>Analista de Sistemas</t>
        </is>
      </c>
      <c r="G190" s="21" t="n">
        <v>30400</v>
      </c>
      <c r="H190" s="22" t="n">
        <v>43413</v>
      </c>
      <c r="I190" s="19" t="inlineStr">
        <is>
          <t>beatriz.hernandez@empresa.com</t>
        </is>
      </c>
      <c r="J190" s="23" t="inlineStr">
        <is>
          <t>Activo</t>
        </is>
      </c>
    </row>
    <row r="191">
      <c r="A191" s="24" t="n">
        <v>290</v>
      </c>
      <c r="B191" s="25" t="inlineStr">
        <is>
          <t>María García García</t>
        </is>
      </c>
      <c r="C191" s="25" t="inlineStr">
        <is>
          <t>Compras</t>
        </is>
      </c>
      <c r="D191" s="25" t="inlineStr">
        <is>
          <t>Carlos Díaz</t>
        </is>
      </c>
      <c r="E191" s="26" t="inlineStr">
        <is>
          <t>555-3419</t>
        </is>
      </c>
      <c r="F191" s="25" t="inlineStr">
        <is>
          <t>Especialista de Abastecimiento</t>
        </is>
      </c>
      <c r="G191" s="27" t="n">
        <v>20000</v>
      </c>
      <c r="H191" s="28" t="n">
        <v>44068</v>
      </c>
      <c r="I191" s="25" t="inlineStr">
        <is>
          <t>maria.garcia@empresa.com</t>
        </is>
      </c>
      <c r="J191" s="29" t="inlineStr">
        <is>
          <t>Activo</t>
        </is>
      </c>
    </row>
    <row r="192">
      <c r="A192" s="18" t="n">
        <v>291</v>
      </c>
      <c r="B192" s="19" t="inlineStr">
        <is>
          <t>Miguel González López</t>
        </is>
      </c>
      <c r="C192" s="19" t="inlineStr">
        <is>
          <t>Contabilidad</t>
        </is>
      </c>
      <c r="D192" s="19" t="inlineStr">
        <is>
          <t>Roberto Méndez</t>
        </is>
      </c>
      <c r="E192" s="20" t="inlineStr">
        <is>
          <t>555-3902</t>
        </is>
      </c>
      <c r="F192" s="19" t="inlineStr">
        <is>
          <t>Contador</t>
        </is>
      </c>
      <c r="G192" s="21" t="n">
        <v>19300</v>
      </c>
      <c r="H192" s="22" t="n">
        <v>45673</v>
      </c>
      <c r="I192" s="19" t="inlineStr">
        <is>
          <t>miguel.gonzalez@empresa.com</t>
        </is>
      </c>
      <c r="J192" s="23" t="inlineStr">
        <is>
          <t>Activo</t>
        </is>
      </c>
    </row>
    <row r="193">
      <c r="A193" s="24" t="n">
        <v>292</v>
      </c>
      <c r="B193" s="25" t="inlineStr">
        <is>
          <t>Javier Reyes Ramos</t>
        </is>
      </c>
      <c r="C193" s="25" t="inlineStr">
        <is>
          <t>Contabilidad</t>
        </is>
      </c>
      <c r="D193" s="25" t="inlineStr">
        <is>
          <t>Roberto Méndez</t>
        </is>
      </c>
      <c r="E193" s="26" t="inlineStr">
        <is>
          <t>555-6295</t>
        </is>
      </c>
      <c r="F193" s="25" t="inlineStr">
        <is>
          <t>Gerente de Finanzas</t>
        </is>
      </c>
      <c r="G193" s="27" t="n">
        <v>47600</v>
      </c>
      <c r="H193" s="28" t="n">
        <v>45670</v>
      </c>
      <c r="I193" s="25" t="inlineStr">
        <is>
          <t>javier.reyes@empresa.com</t>
        </is>
      </c>
      <c r="J193" s="29" t="inlineStr">
        <is>
          <t>Activo</t>
        </is>
      </c>
    </row>
    <row r="194">
      <c r="A194" s="18" t="n">
        <v>293</v>
      </c>
      <c r="B194" s="19" t="inlineStr">
        <is>
          <t>Alejandro Torres Morales</t>
        </is>
      </c>
      <c r="C194" s="19" t="inlineStr">
        <is>
          <t>Recursos Humanos</t>
        </is>
      </c>
      <c r="D194" s="19" t="inlineStr">
        <is>
          <t>Elena Pastrana</t>
        </is>
      </c>
      <c r="E194" s="20" t="inlineStr">
        <is>
          <t>555-5500</t>
        </is>
      </c>
      <c r="F194" s="19" t="inlineStr">
        <is>
          <t>Generalista de RRHH</t>
        </is>
      </c>
      <c r="G194" s="21" t="n">
        <v>27900</v>
      </c>
      <c r="H194" s="22" t="n">
        <v>45523</v>
      </c>
      <c r="I194" s="19" t="inlineStr">
        <is>
          <t>alejandro.torres@empresa.com</t>
        </is>
      </c>
      <c r="J194" s="23" t="inlineStr">
        <is>
          <t>Activo</t>
        </is>
      </c>
    </row>
    <row r="195">
      <c r="A195" s="24" t="n">
        <v>294</v>
      </c>
      <c r="B195" s="25" t="inlineStr">
        <is>
          <t>Roberto Torres Hernández</t>
        </is>
      </c>
      <c r="C195" s="25" t="inlineStr">
        <is>
          <t>Recursos Humanos</t>
        </is>
      </c>
      <c r="D195" s="25" t="inlineStr">
        <is>
          <t>Elena Pastrana</t>
        </is>
      </c>
      <c r="E195" s="26" t="inlineStr">
        <is>
          <t>555-1932</t>
        </is>
      </c>
      <c r="F195" s="25" t="inlineStr">
        <is>
          <t>Gerente de RRHH</t>
        </is>
      </c>
      <c r="G195" s="27" t="n">
        <v>30700</v>
      </c>
      <c r="H195" s="28" t="n">
        <v>44611</v>
      </c>
      <c r="I195" s="25" t="inlineStr">
        <is>
          <t>roberto.torres294@empresa.com</t>
        </is>
      </c>
      <c r="J195" s="29" t="inlineStr">
        <is>
          <t>Activo</t>
        </is>
      </c>
    </row>
    <row r="196">
      <c r="A196" s="18" t="n">
        <v>295</v>
      </c>
      <c r="B196" s="19" t="inlineStr">
        <is>
          <t>Luis Álvarez Medina</t>
        </is>
      </c>
      <c r="C196" s="19" t="inlineStr">
        <is>
          <t>Operaciones</t>
        </is>
      </c>
      <c r="D196" s="19" t="inlineStr">
        <is>
          <t>Alejandro Ruiz</t>
        </is>
      </c>
      <c r="E196" s="20" t="inlineStr">
        <is>
          <t>555-7299</t>
        </is>
      </c>
      <c r="F196" s="19" t="inlineStr">
        <is>
          <t>Operador de Logística</t>
        </is>
      </c>
      <c r="G196" s="21" t="n">
        <v>15100</v>
      </c>
      <c r="H196" s="22" t="n">
        <v>44996</v>
      </c>
      <c r="I196" s="19" t="inlineStr">
        <is>
          <t>luis.alvarez@empresa.com</t>
        </is>
      </c>
      <c r="J196" s="23" t="inlineStr">
        <is>
          <t>Activo</t>
        </is>
      </c>
    </row>
    <row r="197">
      <c r="A197" s="24" t="n">
        <v>296</v>
      </c>
      <c r="B197" s="25" t="inlineStr">
        <is>
          <t>Mónica Mendoza Castro</t>
        </is>
      </c>
      <c r="C197" s="25" t="inlineStr">
        <is>
          <t>Ventas</t>
        </is>
      </c>
      <c r="D197" s="25" t="inlineStr">
        <is>
          <t>Laura Gómez</t>
        </is>
      </c>
      <c r="E197" s="26" t="inlineStr">
        <is>
          <t>555-4084</t>
        </is>
      </c>
      <c r="F197" s="25" t="inlineStr">
        <is>
          <t>Gerente de Ventas</t>
        </is>
      </c>
      <c r="G197" s="27" t="n">
        <v>37800</v>
      </c>
      <c r="H197" s="28" t="n">
        <v>44417</v>
      </c>
      <c r="I197" s="25" t="inlineStr">
        <is>
          <t>monica.mendoza@empresa.com</t>
        </is>
      </c>
      <c r="J197" s="29" t="inlineStr">
        <is>
          <t>Activo</t>
        </is>
      </c>
    </row>
    <row r="198">
      <c r="A198" s="18" t="n">
        <v>297</v>
      </c>
      <c r="B198" s="19" t="inlineStr">
        <is>
          <t>Roberto Díaz Ruiz</t>
        </is>
      </c>
      <c r="C198" s="19" t="inlineStr">
        <is>
          <t>Recursos Humanos</t>
        </is>
      </c>
      <c r="D198" s="19" t="inlineStr">
        <is>
          <t>Elena Pastrana</t>
        </is>
      </c>
      <c r="E198" s="20" t="inlineStr">
        <is>
          <t>555-2381</t>
        </is>
      </c>
      <c r="F198" s="19" t="inlineStr">
        <is>
          <t>Auxiliar de RRHH</t>
        </is>
      </c>
      <c r="G198" s="21" t="n">
        <v>14300</v>
      </c>
      <c r="H198" s="22" t="n">
        <v>45167</v>
      </c>
      <c r="I198" s="19" t="inlineStr">
        <is>
          <t>roberto.diaz@empresa.com</t>
        </is>
      </c>
      <c r="J198" s="23" t="inlineStr">
        <is>
          <t>Activo</t>
        </is>
      </c>
    </row>
    <row r="199">
      <c r="A199" s="24" t="n">
        <v>298</v>
      </c>
      <c r="B199" s="25" t="inlineStr">
        <is>
          <t>Ana Rodríguez Ortiz</t>
        </is>
      </c>
      <c r="C199" s="25" t="inlineStr">
        <is>
          <t>Recursos Humanos</t>
        </is>
      </c>
      <c r="D199" s="25" t="inlineStr">
        <is>
          <t>Elena Pastrana</t>
        </is>
      </c>
      <c r="E199" s="26" t="inlineStr">
        <is>
          <t>555-9564</t>
        </is>
      </c>
      <c r="F199" s="25" t="inlineStr">
        <is>
          <t>Gerente de RRHH</t>
        </is>
      </c>
      <c r="G199" s="27" t="n">
        <v>34600</v>
      </c>
      <c r="H199" s="28" t="n">
        <v>45598</v>
      </c>
      <c r="I199" s="25" t="inlineStr">
        <is>
          <t>ana.rodriguez@empresa.com</t>
        </is>
      </c>
      <c r="J199" s="29" t="inlineStr">
        <is>
          <t>Activo</t>
        </is>
      </c>
    </row>
    <row r="200">
      <c r="A200" s="18" t="n">
        <v>299</v>
      </c>
      <c r="B200" s="19" t="inlineStr">
        <is>
          <t>Lucía Vargas Hernández</t>
        </is>
      </c>
      <c r="C200" s="19" t="inlineStr">
        <is>
          <t>Recursos Humanos</t>
        </is>
      </c>
      <c r="D200" s="19" t="inlineStr">
        <is>
          <t>Elena Pastrana</t>
        </is>
      </c>
      <c r="E200" s="20" t="inlineStr">
        <is>
          <t>555-6543</t>
        </is>
      </c>
      <c r="F200" s="19" t="inlineStr">
        <is>
          <t>Gerente de RRHH</t>
        </is>
      </c>
      <c r="G200" s="21" t="n">
        <v>36700</v>
      </c>
      <c r="H200" s="22" t="n">
        <v>45881</v>
      </c>
      <c r="I200" s="19" t="inlineStr">
        <is>
          <t>lucia.vargas@empresa.com</t>
        </is>
      </c>
      <c r="J200" s="23" t="inlineStr">
        <is>
          <t>Activo</t>
        </is>
      </c>
    </row>
    <row r="201">
      <c r="A201" s="24" t="n">
        <v>300</v>
      </c>
      <c r="B201" s="25" t="inlineStr">
        <is>
          <t>Mónica Álvarez Álvarez</t>
        </is>
      </c>
      <c r="C201" s="25" t="inlineStr">
        <is>
          <t>Sistemas</t>
        </is>
      </c>
      <c r="D201" s="25" t="inlineStr">
        <is>
          <t>Miguel López</t>
        </is>
      </c>
      <c r="E201" s="26" t="inlineStr">
        <is>
          <t>555-2548</t>
        </is>
      </c>
      <c r="F201" s="25" t="inlineStr">
        <is>
          <t>Programador</t>
        </is>
      </c>
      <c r="G201" s="27" t="n">
        <v>30300</v>
      </c>
      <c r="H201" s="28" t="n">
        <v>45386</v>
      </c>
      <c r="I201" s="25" t="inlineStr">
        <is>
          <t>monica.alvarez@empresa.com</t>
        </is>
      </c>
      <c r="J201" s="29" t="inlineStr">
        <is>
          <t>Activo</t>
        </is>
      </c>
    </row>
    <row r="202">
      <c r="A202" s="18" t="n">
        <v>301</v>
      </c>
      <c r="B202" s="19" t="inlineStr">
        <is>
          <t>Elena Martínez Mendoza</t>
        </is>
      </c>
      <c r="C202" s="19" t="inlineStr">
        <is>
          <t>Operaciones</t>
        </is>
      </c>
      <c r="D202" s="19" t="inlineStr">
        <is>
          <t>Alejandro Ruiz</t>
        </is>
      </c>
      <c r="E202" s="20" t="inlineStr">
        <is>
          <t>555-2335</t>
        </is>
      </c>
      <c r="F202" s="19" t="inlineStr">
        <is>
          <t>Supervisor de Planta</t>
        </is>
      </c>
      <c r="G202" s="21" t="n">
        <v>25200</v>
      </c>
      <c r="H202" s="22" t="n">
        <v>45487</v>
      </c>
      <c r="I202" s="19" t="inlineStr">
        <is>
          <t>elena.martinez@empresa.com</t>
        </is>
      </c>
      <c r="J202" s="23" t="inlineStr">
        <is>
          <t>Activo</t>
        </is>
      </c>
    </row>
    <row r="203">
      <c r="A203" s="24" t="n">
        <v>302</v>
      </c>
      <c r="B203" s="25" t="inlineStr">
        <is>
          <t>Silvia Ramírez Hernández</t>
        </is>
      </c>
      <c r="C203" s="25" t="inlineStr">
        <is>
          <t>Marketing</t>
        </is>
      </c>
      <c r="D203" s="25" t="inlineStr">
        <is>
          <t>Sofía Castro</t>
        </is>
      </c>
      <c r="E203" s="26" t="inlineStr">
        <is>
          <t>555-2388</t>
        </is>
      </c>
      <c r="F203" s="25" t="inlineStr">
        <is>
          <t>Gerente de Marca</t>
        </is>
      </c>
      <c r="G203" s="27" t="n">
        <v>34900</v>
      </c>
      <c r="H203" s="28" t="n">
        <v>44369</v>
      </c>
      <c r="I203" s="25" t="inlineStr">
        <is>
          <t>silvia.ramirez@empresa.com</t>
        </is>
      </c>
      <c r="J203" s="29" t="inlineStr">
        <is>
          <t>Activo</t>
        </is>
      </c>
    </row>
    <row r="204">
      <c r="A204" s="18" t="n">
        <v>303</v>
      </c>
      <c r="B204" s="19" t="inlineStr">
        <is>
          <t>Ricardo Chávez Sánchez</t>
        </is>
      </c>
      <c r="C204" s="19" t="inlineStr">
        <is>
          <t>Operaciones</t>
        </is>
      </c>
      <c r="D204" s="19" t="inlineStr">
        <is>
          <t>Alejandro Ruiz</t>
        </is>
      </c>
      <c r="E204" s="20" t="inlineStr">
        <is>
          <t>555-2531</t>
        </is>
      </c>
      <c r="F204" s="19" t="inlineStr">
        <is>
          <t>Supervisor de Planta</t>
        </is>
      </c>
      <c r="G204" s="21" t="n">
        <v>31500</v>
      </c>
      <c r="H204" s="22" t="n">
        <v>45747</v>
      </c>
      <c r="I204" s="19" t="inlineStr">
        <is>
          <t>ricardo.chavez@empresa.com</t>
        </is>
      </c>
      <c r="J204" s="23" t="inlineStr">
        <is>
          <t>Activo</t>
        </is>
      </c>
    </row>
    <row r="205">
      <c r="A205" s="24" t="n">
        <v>304</v>
      </c>
      <c r="B205" s="25" t="inlineStr">
        <is>
          <t>Roberto Ramírez Pérez</t>
        </is>
      </c>
      <c r="C205" s="25" t="inlineStr">
        <is>
          <t>Sistemas</t>
        </is>
      </c>
      <c r="D205" s="25" t="inlineStr">
        <is>
          <t>Miguel López</t>
        </is>
      </c>
      <c r="E205" s="26" t="inlineStr">
        <is>
          <t>555-4509</t>
        </is>
      </c>
      <c r="F205" s="25" t="inlineStr">
        <is>
          <t>Soporte Técnico</t>
        </is>
      </c>
      <c r="G205" s="27" t="n">
        <v>25400</v>
      </c>
      <c r="H205" s="28" t="n">
        <v>44500</v>
      </c>
      <c r="I205" s="25" t="inlineStr">
        <is>
          <t>roberto.ramirez304@empresa.com</t>
        </is>
      </c>
      <c r="J205" s="29" t="inlineStr">
        <is>
          <t>Activo</t>
        </is>
      </c>
    </row>
    <row r="206">
      <c r="A206" s="18" t="n">
        <v>305</v>
      </c>
      <c r="B206" s="19" t="inlineStr">
        <is>
          <t>Patricia González Rodríguez</t>
        </is>
      </c>
      <c r="C206" s="19" t="inlineStr">
        <is>
          <t>Compras</t>
        </is>
      </c>
      <c r="D206" s="19" t="inlineStr">
        <is>
          <t>Carlos Díaz</t>
        </is>
      </c>
      <c r="E206" s="20" t="inlineStr">
        <is>
          <t>555-5846</t>
        </is>
      </c>
      <c r="F206" s="19" t="inlineStr">
        <is>
          <t>Analista de Compras</t>
        </is>
      </c>
      <c r="G206" s="21" t="n">
        <v>15500</v>
      </c>
      <c r="H206" s="22" t="n">
        <v>43515</v>
      </c>
      <c r="I206" s="19" t="inlineStr">
        <is>
          <t>patricia.gonzalez@empresa.com</t>
        </is>
      </c>
      <c r="J206" s="23" t="inlineStr">
        <is>
          <t>Activo</t>
        </is>
      </c>
    </row>
    <row r="207">
      <c r="A207" s="24" t="n">
        <v>306</v>
      </c>
      <c r="B207" s="25" t="inlineStr">
        <is>
          <t>Isabel Rivera Mendoza</t>
        </is>
      </c>
      <c r="C207" s="25" t="inlineStr">
        <is>
          <t>Contabilidad</t>
        </is>
      </c>
      <c r="D207" s="25" t="inlineStr">
        <is>
          <t>Roberto Méndez</t>
        </is>
      </c>
      <c r="E207" s="26" t="inlineStr">
        <is>
          <t>555-3147</t>
        </is>
      </c>
      <c r="F207" s="25" t="inlineStr">
        <is>
          <t>Auxiliar Contable</t>
        </is>
      </c>
      <c r="G207" s="27" t="n">
        <v>15700</v>
      </c>
      <c r="H207" s="28" t="n">
        <v>45547</v>
      </c>
      <c r="I207" s="25" t="inlineStr">
        <is>
          <t>isabel.rivera@empresa.com</t>
        </is>
      </c>
      <c r="J207" s="29" t="inlineStr">
        <is>
          <t>Activo</t>
        </is>
      </c>
    </row>
    <row r="208">
      <c r="A208" s="18" t="n">
        <v>307</v>
      </c>
      <c r="B208" s="19" t="inlineStr">
        <is>
          <t>Laura López Rivera</t>
        </is>
      </c>
      <c r="C208" s="19" t="inlineStr">
        <is>
          <t>Marketing</t>
        </is>
      </c>
      <c r="D208" s="19" t="inlineStr">
        <is>
          <t>Sofía Castro</t>
        </is>
      </c>
      <c r="E208" s="20" t="inlineStr">
        <is>
          <t>555-8170</t>
        </is>
      </c>
      <c r="F208" s="19" t="inlineStr">
        <is>
          <t>Diseñador Gráfico</t>
        </is>
      </c>
      <c r="G208" s="21" t="n">
        <v>28000</v>
      </c>
      <c r="H208" s="22" t="n">
        <v>43279</v>
      </c>
      <c r="I208" s="19" t="inlineStr">
        <is>
          <t>laura.lopez@empresa.com</t>
        </is>
      </c>
      <c r="J208" s="23" t="inlineStr">
        <is>
          <t>Activo</t>
        </is>
      </c>
    </row>
    <row r="209">
      <c r="A209" s="24" t="n">
        <v>308</v>
      </c>
      <c r="B209" s="25" t="inlineStr">
        <is>
          <t>Andrea Mendoza Rodríguez</t>
        </is>
      </c>
      <c r="C209" s="25" t="inlineStr">
        <is>
          <t>Recursos Humanos</t>
        </is>
      </c>
      <c r="D209" s="25" t="inlineStr">
        <is>
          <t>Elena Pastrana</t>
        </is>
      </c>
      <c r="E209" s="26" t="inlineStr">
        <is>
          <t>555-8355</t>
        </is>
      </c>
      <c r="F209" s="25" t="inlineStr">
        <is>
          <t>Generalista de RRHH</t>
        </is>
      </c>
      <c r="G209" s="27" t="n">
        <v>27200</v>
      </c>
      <c r="H209" s="28" t="n">
        <v>44059</v>
      </c>
      <c r="I209" s="25" t="inlineStr">
        <is>
          <t>andrea.mendoza@empresa.com</t>
        </is>
      </c>
      <c r="J209" s="29" t="inlineStr">
        <is>
          <t>Activo</t>
        </is>
      </c>
    </row>
    <row r="210">
      <c r="A210" s="18" t="n">
        <v>309</v>
      </c>
      <c r="B210" s="19" t="inlineStr">
        <is>
          <t>Elena Chávez Chávez</t>
        </is>
      </c>
      <c r="C210" s="19" t="inlineStr">
        <is>
          <t>Recursos Humanos</t>
        </is>
      </c>
      <c r="D210" s="19" t="inlineStr">
        <is>
          <t>Elena Pastrana</t>
        </is>
      </c>
      <c r="E210" s="20" t="inlineStr">
        <is>
          <t>555-8218</t>
        </is>
      </c>
      <c r="F210" s="19" t="inlineStr">
        <is>
          <t>Analista de Nómina</t>
        </is>
      </c>
      <c r="G210" s="21" t="n">
        <v>20900</v>
      </c>
      <c r="H210" s="22" t="n">
        <v>44992</v>
      </c>
      <c r="I210" s="19" t="inlineStr">
        <is>
          <t>elena.chavez309@empresa.com</t>
        </is>
      </c>
      <c r="J210" s="23" t="inlineStr">
        <is>
          <t>Activo</t>
        </is>
      </c>
    </row>
    <row r="211">
      <c r="A211" s="24" t="n">
        <v>310</v>
      </c>
      <c r="B211" s="25" t="inlineStr">
        <is>
          <t>Javier Flores García</t>
        </is>
      </c>
      <c r="C211" s="25" t="inlineStr">
        <is>
          <t>Contabilidad</t>
        </is>
      </c>
      <c r="D211" s="25" t="inlineStr">
        <is>
          <t>Roberto Méndez</t>
        </is>
      </c>
      <c r="E211" s="26" t="inlineStr">
        <is>
          <t>555-4271</t>
        </is>
      </c>
      <c r="F211" s="25" t="inlineStr">
        <is>
          <t>Gerente de Finanzas</t>
        </is>
      </c>
      <c r="G211" s="27" t="n">
        <v>41000</v>
      </c>
      <c r="H211" s="28" t="n">
        <v>45577</v>
      </c>
      <c r="I211" s="25" t="inlineStr">
        <is>
          <t>javier.flores@empresa.com</t>
        </is>
      </c>
      <c r="J211" s="29" t="inlineStr">
        <is>
          <t>Activo</t>
        </is>
      </c>
    </row>
    <row r="212">
      <c r="A212" s="18" t="n">
        <v>311</v>
      </c>
      <c r="B212" s="19" t="inlineStr">
        <is>
          <t>Miguel Ruiz Álvarez</t>
        </is>
      </c>
      <c r="C212" s="19" t="inlineStr">
        <is>
          <t>Recursos Humanos</t>
        </is>
      </c>
      <c r="D212" s="19" t="inlineStr">
        <is>
          <t>Elena Pastrana</t>
        </is>
      </c>
      <c r="E212" s="20" t="inlineStr">
        <is>
          <t>555-2680</t>
        </is>
      </c>
      <c r="F212" s="19" t="inlineStr">
        <is>
          <t>Generalista de RRHH</t>
        </is>
      </c>
      <c r="G212" s="21" t="n">
        <v>24000</v>
      </c>
      <c r="H212" s="22" t="n">
        <v>46014</v>
      </c>
      <c r="I212" s="19" t="inlineStr">
        <is>
          <t>miguel.ruiz311@empresa.com</t>
        </is>
      </c>
      <c r="J212" s="23" t="inlineStr">
        <is>
          <t>Activo</t>
        </is>
      </c>
    </row>
    <row r="213">
      <c r="A213" s="24" t="n">
        <v>312</v>
      </c>
      <c r="B213" s="25" t="inlineStr">
        <is>
          <t>Beatriz Gómez Hernández</t>
        </is>
      </c>
      <c r="C213" s="25" t="inlineStr">
        <is>
          <t>Ventas</t>
        </is>
      </c>
      <c r="D213" s="25" t="inlineStr">
        <is>
          <t>Laura Gómez</t>
        </is>
      </c>
      <c r="E213" s="26" t="inlineStr">
        <is>
          <t>555-8361</t>
        </is>
      </c>
      <c r="F213" s="25" t="inlineStr">
        <is>
          <t>Asesor Comercial</t>
        </is>
      </c>
      <c r="G213" s="27" t="n">
        <v>20000</v>
      </c>
      <c r="H213" s="28" t="n">
        <v>45203</v>
      </c>
      <c r="I213" s="25" t="inlineStr">
        <is>
          <t>beatriz.gomez@empresa.com</t>
        </is>
      </c>
      <c r="J213" s="29" t="inlineStr">
        <is>
          <t>Activo</t>
        </is>
      </c>
    </row>
    <row r="214">
      <c r="A214" s="18" t="n">
        <v>313</v>
      </c>
      <c r="B214" s="19" t="inlineStr">
        <is>
          <t>Carmen Torres Vargas</t>
        </is>
      </c>
      <c r="C214" s="19" t="inlineStr">
        <is>
          <t>Compras</t>
        </is>
      </c>
      <c r="D214" s="19" t="inlineStr">
        <is>
          <t>Carlos Díaz</t>
        </is>
      </c>
      <c r="E214" s="20" t="inlineStr">
        <is>
          <t>555-6727</t>
        </is>
      </c>
      <c r="F214" s="19" t="inlineStr">
        <is>
          <t>Gerente de Compras</t>
        </is>
      </c>
      <c r="G214" s="21" t="n">
        <v>39200</v>
      </c>
      <c r="H214" s="22" t="n">
        <v>43210</v>
      </c>
      <c r="I214" s="19" t="inlineStr">
        <is>
          <t>carmen.torres@empresa.com</t>
        </is>
      </c>
      <c r="J214" s="23" t="inlineStr">
        <is>
          <t>Activo</t>
        </is>
      </c>
    </row>
    <row r="215">
      <c r="A215" s="24" t="n">
        <v>314</v>
      </c>
      <c r="B215" s="25" t="inlineStr">
        <is>
          <t>Diego García Ramírez</t>
        </is>
      </c>
      <c r="C215" s="25" t="inlineStr">
        <is>
          <t>Compras</t>
        </is>
      </c>
      <c r="D215" s="25" t="inlineStr">
        <is>
          <t>Carlos Díaz</t>
        </is>
      </c>
      <c r="E215" s="26" t="inlineStr">
        <is>
          <t>555-7142</t>
        </is>
      </c>
      <c r="F215" s="25" t="inlineStr">
        <is>
          <t>Gerente de Compras</t>
        </is>
      </c>
      <c r="G215" s="27" t="n">
        <v>32600</v>
      </c>
      <c r="H215" s="28" t="n">
        <v>44020</v>
      </c>
      <c r="I215" s="25" t="inlineStr">
        <is>
          <t>diego.garcia@empresa.com</t>
        </is>
      </c>
      <c r="J215" s="29" t="inlineStr">
        <is>
          <t>Activo</t>
        </is>
      </c>
    </row>
    <row r="216">
      <c r="A216" s="18" t="n">
        <v>315</v>
      </c>
      <c r="B216" s="19" t="inlineStr">
        <is>
          <t>Silvia Gómez Rivera</t>
        </is>
      </c>
      <c r="C216" s="19" t="inlineStr">
        <is>
          <t>Marketing</t>
        </is>
      </c>
      <c r="D216" s="19" t="inlineStr">
        <is>
          <t>Sofía Castro</t>
        </is>
      </c>
      <c r="E216" s="20" t="inlineStr">
        <is>
          <t>555-3392</t>
        </is>
      </c>
      <c r="F216" s="19" t="inlineStr">
        <is>
          <t>Coordinador de Marketing</t>
        </is>
      </c>
      <c r="G216" s="21" t="n">
        <v>29200</v>
      </c>
      <c r="H216" s="22" t="n">
        <v>43664</v>
      </c>
      <c r="I216" s="19" t="inlineStr">
        <is>
          <t>silvia.gomez@empresa.com</t>
        </is>
      </c>
      <c r="J216" s="23" t="inlineStr">
        <is>
          <t>Activo</t>
        </is>
      </c>
    </row>
    <row r="217">
      <c r="A217" s="24" t="n">
        <v>316</v>
      </c>
      <c r="B217" s="25" t="inlineStr">
        <is>
          <t>Silvia Rivera Morales</t>
        </is>
      </c>
      <c r="C217" s="25" t="inlineStr">
        <is>
          <t>Marketing</t>
        </is>
      </c>
      <c r="D217" s="25" t="inlineStr">
        <is>
          <t>Sofía Castro</t>
        </is>
      </c>
      <c r="E217" s="26" t="inlineStr">
        <is>
          <t>555-8685</t>
        </is>
      </c>
      <c r="F217" s="25" t="inlineStr">
        <is>
          <t>Diseñador Gráfico</t>
        </is>
      </c>
      <c r="G217" s="27" t="n">
        <v>28600</v>
      </c>
      <c r="H217" s="28" t="n">
        <v>44938</v>
      </c>
      <c r="I217" s="25" t="inlineStr">
        <is>
          <t>silvia.rivera@empresa.com</t>
        </is>
      </c>
      <c r="J217" s="29" t="inlineStr">
        <is>
          <t>Activo</t>
        </is>
      </c>
    </row>
    <row r="218">
      <c r="A218" s="18" t="n">
        <v>317</v>
      </c>
      <c r="B218" s="19" t="inlineStr">
        <is>
          <t>Raúl Torres Pérez</t>
        </is>
      </c>
      <c r="C218" s="19" t="inlineStr">
        <is>
          <t>Sistemas</t>
        </is>
      </c>
      <c r="D218" s="19" t="inlineStr">
        <is>
          <t>Miguel López</t>
        </is>
      </c>
      <c r="E218" s="20" t="inlineStr">
        <is>
          <t>555-9991</t>
        </is>
      </c>
      <c r="F218" s="19" t="inlineStr">
        <is>
          <t>Analista de Sistemas</t>
        </is>
      </c>
      <c r="G218" s="21" t="n">
        <v>24300</v>
      </c>
      <c r="H218" s="22" t="n">
        <v>46079</v>
      </c>
      <c r="I218" s="19" t="inlineStr">
        <is>
          <t>raul.torres@empresa.com</t>
        </is>
      </c>
      <c r="J218" s="23" t="inlineStr">
        <is>
          <t>Activo</t>
        </is>
      </c>
    </row>
    <row r="219">
      <c r="A219" s="24" t="n">
        <v>318</v>
      </c>
      <c r="B219" s="25" t="inlineStr">
        <is>
          <t>Javier Hernández Rodríguez</t>
        </is>
      </c>
      <c r="C219" s="25" t="inlineStr">
        <is>
          <t>Sistemas</t>
        </is>
      </c>
      <c r="D219" s="25" t="inlineStr">
        <is>
          <t>Miguel López</t>
        </is>
      </c>
      <c r="E219" s="26" t="inlineStr">
        <is>
          <t>555-4906</t>
        </is>
      </c>
      <c r="F219" s="25" t="inlineStr">
        <is>
          <t>Programador</t>
        </is>
      </c>
      <c r="G219" s="27" t="n">
        <v>21000</v>
      </c>
      <c r="H219" s="28" t="n">
        <v>44820</v>
      </c>
      <c r="I219" s="25" t="inlineStr">
        <is>
          <t>javier.hernandez@empresa.com</t>
        </is>
      </c>
      <c r="J219" s="29" t="inlineStr">
        <is>
          <t>Activo</t>
        </is>
      </c>
    </row>
    <row r="220">
      <c r="A220" s="18" t="n">
        <v>319</v>
      </c>
      <c r="B220" s="19" t="inlineStr">
        <is>
          <t>Gabriela Castillo Torres</t>
        </is>
      </c>
      <c r="C220" s="19" t="inlineStr">
        <is>
          <t>Ventas</t>
        </is>
      </c>
      <c r="D220" s="19" t="inlineStr">
        <is>
          <t>Laura Gómez</t>
        </is>
      </c>
      <c r="E220" s="20" t="inlineStr">
        <is>
          <t>555-9782</t>
        </is>
      </c>
      <c r="F220" s="19" t="inlineStr">
        <is>
          <t>Gerente de Ventas</t>
        </is>
      </c>
      <c r="G220" s="21" t="n">
        <v>35200</v>
      </c>
      <c r="H220" s="22" t="n">
        <v>43168</v>
      </c>
      <c r="I220" s="19" t="inlineStr">
        <is>
          <t>gabriela.castillo@empresa.com</t>
        </is>
      </c>
      <c r="J220" s="23" t="inlineStr">
        <is>
          <t>Activo</t>
        </is>
      </c>
    </row>
    <row r="221">
      <c r="A221" s="24" t="n">
        <v>320</v>
      </c>
      <c r="B221" s="25" t="inlineStr">
        <is>
          <t>Francisco Rodríguez Ortiz</t>
        </is>
      </c>
      <c r="C221" s="25" t="inlineStr">
        <is>
          <t>Compras</t>
        </is>
      </c>
      <c r="D221" s="25" t="inlineStr">
        <is>
          <t>Carlos Díaz</t>
        </is>
      </c>
      <c r="E221" s="26" t="inlineStr">
        <is>
          <t>555-1025</t>
        </is>
      </c>
      <c r="F221" s="25" t="inlineStr">
        <is>
          <t>Especialista de Abastecimiento</t>
        </is>
      </c>
      <c r="G221" s="27" t="n">
        <v>21300</v>
      </c>
      <c r="H221" s="28" t="n">
        <v>45619</v>
      </c>
      <c r="I221" s="25" t="inlineStr">
        <is>
          <t>francisco.rodriguez@empresa.com</t>
        </is>
      </c>
      <c r="J221" s="29" t="inlineStr">
        <is>
          <t>Activo</t>
        </is>
      </c>
    </row>
    <row r="222">
      <c r="A222" s="18" t="n">
        <v>321</v>
      </c>
      <c r="B222" s="19" t="inlineStr">
        <is>
          <t>Francisco Vázquez López</t>
        </is>
      </c>
      <c r="C222" s="19" t="inlineStr">
        <is>
          <t>Marketing</t>
        </is>
      </c>
      <c r="D222" s="19" t="inlineStr">
        <is>
          <t>Sofía Castro</t>
        </is>
      </c>
      <c r="E222" s="20" t="inlineStr">
        <is>
          <t>555-6908</t>
        </is>
      </c>
      <c r="F222" s="19" t="inlineStr">
        <is>
          <t>Especialista SEO</t>
        </is>
      </c>
      <c r="G222" s="21" t="n">
        <v>24800</v>
      </c>
      <c r="H222" s="22" t="n">
        <v>43378</v>
      </c>
      <c r="I222" s="19" t="inlineStr">
        <is>
          <t>francisco.vazquez321@empresa.com</t>
        </is>
      </c>
      <c r="J222" s="23" t="inlineStr">
        <is>
          <t>Activo</t>
        </is>
      </c>
    </row>
    <row r="223">
      <c r="A223" s="24" t="n">
        <v>322</v>
      </c>
      <c r="B223" s="25" t="inlineStr">
        <is>
          <t>Isabel García Chávez</t>
        </is>
      </c>
      <c r="C223" s="25" t="inlineStr">
        <is>
          <t>Contabilidad</t>
        </is>
      </c>
      <c r="D223" s="25" t="inlineStr">
        <is>
          <t>Roberto Méndez</t>
        </is>
      </c>
      <c r="E223" s="26" t="inlineStr">
        <is>
          <t>555-8702</t>
        </is>
      </c>
      <c r="F223" s="25" t="inlineStr">
        <is>
          <t>Auxiliar Contable</t>
        </is>
      </c>
      <c r="G223" s="27" t="n">
        <v>16100</v>
      </c>
      <c r="H223" s="28" t="n">
        <v>43279</v>
      </c>
      <c r="I223" s="25" t="inlineStr">
        <is>
          <t>isabel.garcia@empresa.com</t>
        </is>
      </c>
      <c r="J223" s="29" t="inlineStr">
        <is>
          <t>Activo</t>
        </is>
      </c>
    </row>
    <row r="224">
      <c r="A224" s="18" t="n">
        <v>323</v>
      </c>
      <c r="B224" s="19" t="inlineStr">
        <is>
          <t>Lucía Martínez Mendoza</t>
        </is>
      </c>
      <c r="C224" s="19" t="inlineStr">
        <is>
          <t>Ventas</t>
        </is>
      </c>
      <c r="D224" s="19" t="inlineStr">
        <is>
          <t>Laura Gómez</t>
        </is>
      </c>
      <c r="E224" s="20" t="inlineStr">
        <is>
          <t>555-6649</t>
        </is>
      </c>
      <c r="F224" s="19" t="inlineStr">
        <is>
          <t>Coordinador de Ventas</t>
        </is>
      </c>
      <c r="G224" s="21" t="n">
        <v>16700</v>
      </c>
      <c r="H224" s="22" t="n">
        <v>44088</v>
      </c>
      <c r="I224" s="19" t="inlineStr">
        <is>
          <t>lucia.martinez323@empresa.com</t>
        </is>
      </c>
      <c r="J224" s="23" t="inlineStr">
        <is>
          <t>Activo</t>
        </is>
      </c>
    </row>
    <row r="225">
      <c r="A225" s="24" t="n">
        <v>324</v>
      </c>
      <c r="B225" s="25" t="inlineStr">
        <is>
          <t>Ricardo Gómez Ramos</t>
        </is>
      </c>
      <c r="C225" s="25" t="inlineStr">
        <is>
          <t>Contabilidad</t>
        </is>
      </c>
      <c r="D225" s="25" t="inlineStr">
        <is>
          <t>Roberto Méndez</t>
        </is>
      </c>
      <c r="E225" s="26" t="inlineStr">
        <is>
          <t>555-1726</t>
        </is>
      </c>
      <c r="F225" s="25" t="inlineStr">
        <is>
          <t>Auditor Interno</t>
        </is>
      </c>
      <c r="G225" s="27" t="n">
        <v>21200</v>
      </c>
      <c r="H225" s="28" t="n">
        <v>44544</v>
      </c>
      <c r="I225" s="25" t="inlineStr">
        <is>
          <t>ricardo.gomez@empresa.com</t>
        </is>
      </c>
      <c r="J225" s="29" t="inlineStr">
        <is>
          <t>Activo</t>
        </is>
      </c>
    </row>
    <row r="226">
      <c r="A226" s="18" t="n">
        <v>325</v>
      </c>
      <c r="B226" s="19" t="inlineStr">
        <is>
          <t>Manuel Álvarez López</t>
        </is>
      </c>
      <c r="C226" s="19" t="inlineStr">
        <is>
          <t>Operaciones</t>
        </is>
      </c>
      <c r="D226" s="19" t="inlineStr">
        <is>
          <t>Alejandro Ruiz</t>
        </is>
      </c>
      <c r="E226" s="20" t="inlineStr">
        <is>
          <t>555-3986</t>
        </is>
      </c>
      <c r="F226" s="19" t="inlineStr">
        <is>
          <t>Gerente de Operaciones</t>
        </is>
      </c>
      <c r="G226" s="21" t="n">
        <v>43800</v>
      </c>
      <c r="H226" s="22" t="n">
        <v>43653</v>
      </c>
      <c r="I226" s="19" t="inlineStr">
        <is>
          <t>manuel.alvarez@empresa.com</t>
        </is>
      </c>
      <c r="J226" s="23" t="inlineStr">
        <is>
          <t>Activo</t>
        </is>
      </c>
    </row>
    <row r="227">
      <c r="A227" s="24" t="n">
        <v>326</v>
      </c>
      <c r="B227" s="25" t="inlineStr">
        <is>
          <t>Javier Castillo Ruiz</t>
        </is>
      </c>
      <c r="C227" s="25" t="inlineStr">
        <is>
          <t>Sistemas</t>
        </is>
      </c>
      <c r="D227" s="25" t="inlineStr">
        <is>
          <t>Miguel López</t>
        </is>
      </c>
      <c r="E227" s="26" t="inlineStr">
        <is>
          <t>555-4268</t>
        </is>
      </c>
      <c r="F227" s="25" t="inlineStr">
        <is>
          <t>Analista de Sistemas</t>
        </is>
      </c>
      <c r="G227" s="27" t="n">
        <v>20900</v>
      </c>
      <c r="H227" s="28" t="n">
        <v>43272</v>
      </c>
      <c r="I227" s="25" t="inlineStr">
        <is>
          <t>javier.castillo@empresa.com</t>
        </is>
      </c>
      <c r="J227" s="29" t="inlineStr">
        <is>
          <t>Activo</t>
        </is>
      </c>
    </row>
    <row r="228">
      <c r="A228" s="18" t="n">
        <v>327</v>
      </c>
      <c r="B228" s="19" t="inlineStr">
        <is>
          <t>Elena García Flores</t>
        </is>
      </c>
      <c r="C228" s="19" t="inlineStr">
        <is>
          <t>Operaciones</t>
        </is>
      </c>
      <c r="D228" s="19" t="inlineStr">
        <is>
          <t>Alejandro Ruiz</t>
        </is>
      </c>
      <c r="E228" s="20" t="inlineStr">
        <is>
          <t>555-1599</t>
        </is>
      </c>
      <c r="F228" s="19" t="inlineStr">
        <is>
          <t>Gerente de Operaciones</t>
        </is>
      </c>
      <c r="G228" s="21" t="n">
        <v>40100</v>
      </c>
      <c r="H228" s="22" t="n">
        <v>45750</v>
      </c>
      <c r="I228" s="19" t="inlineStr">
        <is>
          <t>elena.garcia@empresa.com</t>
        </is>
      </c>
      <c r="J228" s="23" t="inlineStr">
        <is>
          <t>Activo</t>
        </is>
      </c>
    </row>
    <row r="229">
      <c r="A229" s="24" t="n">
        <v>328</v>
      </c>
      <c r="B229" s="25" t="inlineStr">
        <is>
          <t>Lucía Medina Ramos</t>
        </is>
      </c>
      <c r="C229" s="25" t="inlineStr">
        <is>
          <t>Ventas</t>
        </is>
      </c>
      <c r="D229" s="25" t="inlineStr">
        <is>
          <t>Laura Gómez</t>
        </is>
      </c>
      <c r="E229" s="26" t="inlineStr">
        <is>
          <t>555-3039</t>
        </is>
      </c>
      <c r="F229" s="25" t="inlineStr">
        <is>
          <t>Coordinador de Ventas</t>
        </is>
      </c>
      <c r="G229" s="27" t="n">
        <v>20000</v>
      </c>
      <c r="H229" s="28" t="n">
        <v>44608</v>
      </c>
      <c r="I229" s="25" t="inlineStr">
        <is>
          <t>lucia.medina@empresa.com</t>
        </is>
      </c>
      <c r="J229" s="29" t="inlineStr">
        <is>
          <t>Activo</t>
        </is>
      </c>
    </row>
    <row r="230">
      <c r="A230" s="18" t="n">
        <v>329</v>
      </c>
      <c r="B230" s="19" t="inlineStr">
        <is>
          <t>Diego Mendoza Castillo</t>
        </is>
      </c>
      <c r="C230" s="19" t="inlineStr">
        <is>
          <t>Recursos Humanos</t>
        </is>
      </c>
      <c r="D230" s="19" t="inlineStr">
        <is>
          <t>Elena Pastrana</t>
        </is>
      </c>
      <c r="E230" s="20" t="inlineStr">
        <is>
          <t>555-9129</t>
        </is>
      </c>
      <c r="F230" s="19" t="inlineStr">
        <is>
          <t>Generalista de RRHH</t>
        </is>
      </c>
      <c r="G230" s="21" t="n">
        <v>18000</v>
      </c>
      <c r="H230" s="22" t="n">
        <v>45935</v>
      </c>
      <c r="I230" s="19" t="inlineStr">
        <is>
          <t>diego.mendoza@empresa.com</t>
        </is>
      </c>
      <c r="J230" s="23" t="inlineStr">
        <is>
          <t>Activo</t>
        </is>
      </c>
    </row>
    <row r="231">
      <c r="A231" s="24" t="n">
        <v>330</v>
      </c>
      <c r="B231" s="25" t="inlineStr">
        <is>
          <t>Silvia Chávez García</t>
        </is>
      </c>
      <c r="C231" s="25" t="inlineStr">
        <is>
          <t>Sistemas</t>
        </is>
      </c>
      <c r="D231" s="25" t="inlineStr">
        <is>
          <t>Miguel López</t>
        </is>
      </c>
      <c r="E231" s="26" t="inlineStr">
        <is>
          <t>555-2293</t>
        </is>
      </c>
      <c r="F231" s="25" t="inlineStr">
        <is>
          <t>Programador</t>
        </is>
      </c>
      <c r="G231" s="27" t="n">
        <v>33400</v>
      </c>
      <c r="H231" s="28" t="n">
        <v>44864</v>
      </c>
      <c r="I231" s="25" t="inlineStr">
        <is>
          <t>silvia.chavez@empresa.com</t>
        </is>
      </c>
      <c r="J231" s="29" t="inlineStr">
        <is>
          <t>Activo</t>
        </is>
      </c>
    </row>
    <row r="232">
      <c r="A232" s="18" t="n">
        <v>331</v>
      </c>
      <c r="B232" s="19" t="inlineStr">
        <is>
          <t>Manuel López Jiménez</t>
        </is>
      </c>
      <c r="C232" s="19" t="inlineStr">
        <is>
          <t>Sistemas</t>
        </is>
      </c>
      <c r="D232" s="19" t="inlineStr">
        <is>
          <t>Miguel López</t>
        </is>
      </c>
      <c r="E232" s="20" t="inlineStr">
        <is>
          <t>555-2311</t>
        </is>
      </c>
      <c r="F232" s="19" t="inlineStr">
        <is>
          <t>Soporte Técnico</t>
        </is>
      </c>
      <c r="G232" s="21" t="n">
        <v>22800</v>
      </c>
      <c r="H232" s="22" t="n">
        <v>44444</v>
      </c>
      <c r="I232" s="19" t="inlineStr">
        <is>
          <t>manuel.lopez@empresa.com</t>
        </is>
      </c>
      <c r="J232" s="23" t="inlineStr">
        <is>
          <t>Activo</t>
        </is>
      </c>
    </row>
    <row r="233">
      <c r="A233" s="24" t="n">
        <v>332</v>
      </c>
      <c r="B233" s="25" t="inlineStr">
        <is>
          <t>Elena Castillo Cruz</t>
        </is>
      </c>
      <c r="C233" s="25" t="inlineStr">
        <is>
          <t>Marketing</t>
        </is>
      </c>
      <c r="D233" s="25" t="inlineStr">
        <is>
          <t>Sofía Castro</t>
        </is>
      </c>
      <c r="E233" s="26" t="inlineStr">
        <is>
          <t>555-8272</t>
        </is>
      </c>
      <c r="F233" s="25" t="inlineStr">
        <is>
          <t>Gerente de Marca</t>
        </is>
      </c>
      <c r="G233" s="27" t="n">
        <v>35500</v>
      </c>
      <c r="H233" s="28" t="n">
        <v>44540</v>
      </c>
      <c r="I233" s="25" t="inlineStr">
        <is>
          <t>elena.castillo@empresa.com</t>
        </is>
      </c>
      <c r="J233" s="29" t="inlineStr">
        <is>
          <t>Activo</t>
        </is>
      </c>
    </row>
    <row r="234">
      <c r="A234" s="18" t="n">
        <v>333</v>
      </c>
      <c r="B234" s="19" t="inlineStr">
        <is>
          <t>Claudia Medina Vargas</t>
        </is>
      </c>
      <c r="C234" s="19" t="inlineStr">
        <is>
          <t>Sistemas</t>
        </is>
      </c>
      <c r="D234" s="19" t="inlineStr">
        <is>
          <t>Miguel López</t>
        </is>
      </c>
      <c r="E234" s="20" t="inlineStr">
        <is>
          <t>555-5498</t>
        </is>
      </c>
      <c r="F234" s="19" t="inlineStr">
        <is>
          <t>Gerente de TI</t>
        </is>
      </c>
      <c r="G234" s="21" t="n">
        <v>51100</v>
      </c>
      <c r="H234" s="22" t="n">
        <v>45720</v>
      </c>
      <c r="I234" s="19" t="inlineStr">
        <is>
          <t>claudia.medina333@empresa.com</t>
        </is>
      </c>
      <c r="J234" s="23" t="inlineStr">
        <is>
          <t>Activo</t>
        </is>
      </c>
    </row>
    <row r="235">
      <c r="A235" s="24" t="n">
        <v>334</v>
      </c>
      <c r="B235" s="25" t="inlineStr">
        <is>
          <t>Ana Torres Gutiérrez</t>
        </is>
      </c>
      <c r="C235" s="25" t="inlineStr">
        <is>
          <t>Marketing</t>
        </is>
      </c>
      <c r="D235" s="25" t="inlineStr">
        <is>
          <t>Sofía Castro</t>
        </is>
      </c>
      <c r="E235" s="26" t="inlineStr">
        <is>
          <t>555-9406</t>
        </is>
      </c>
      <c r="F235" s="25" t="inlineStr">
        <is>
          <t>Gerente de Marca</t>
        </is>
      </c>
      <c r="G235" s="27" t="n">
        <v>38700</v>
      </c>
      <c r="H235" s="28" t="n">
        <v>45883</v>
      </c>
      <c r="I235" s="25" t="inlineStr">
        <is>
          <t>ana.torres@empresa.com</t>
        </is>
      </c>
      <c r="J235" s="29" t="inlineStr">
        <is>
          <t>Activo</t>
        </is>
      </c>
    </row>
    <row r="236">
      <c r="A236" s="18" t="n">
        <v>335</v>
      </c>
      <c r="B236" s="19" t="inlineStr">
        <is>
          <t>Juan Díaz Medina</t>
        </is>
      </c>
      <c r="C236" s="19" t="inlineStr">
        <is>
          <t>Contabilidad</t>
        </is>
      </c>
      <c r="D236" s="19" t="inlineStr">
        <is>
          <t>Roberto Méndez</t>
        </is>
      </c>
      <c r="E236" s="20" t="inlineStr">
        <is>
          <t>555-3068</t>
        </is>
      </c>
      <c r="F236" s="19" t="inlineStr">
        <is>
          <t>Gerente de Finanzas</t>
        </is>
      </c>
      <c r="G236" s="21" t="n">
        <v>38900</v>
      </c>
      <c r="H236" s="22" t="n">
        <v>43376</v>
      </c>
      <c r="I236" s="19" t="inlineStr">
        <is>
          <t>juan.diaz@empresa.com</t>
        </is>
      </c>
      <c r="J236" s="23" t="inlineStr">
        <is>
          <t>Activo</t>
        </is>
      </c>
    </row>
    <row r="237">
      <c r="A237" s="24" t="n">
        <v>336</v>
      </c>
      <c r="B237" s="25" t="inlineStr">
        <is>
          <t>Ricardo Ramírez Ramírez</t>
        </is>
      </c>
      <c r="C237" s="25" t="inlineStr">
        <is>
          <t>Recursos Humanos</t>
        </is>
      </c>
      <c r="D237" s="25" t="inlineStr">
        <is>
          <t>Elena Pastrana</t>
        </is>
      </c>
      <c r="E237" s="26" t="inlineStr">
        <is>
          <t>555-8371</t>
        </is>
      </c>
      <c r="F237" s="25" t="inlineStr">
        <is>
          <t>Auxiliar de RRHH</t>
        </is>
      </c>
      <c r="G237" s="27" t="n">
        <v>12700</v>
      </c>
      <c r="H237" s="28" t="n">
        <v>44620</v>
      </c>
      <c r="I237" s="25" t="inlineStr">
        <is>
          <t>ricardo.ramirez@empresa.com</t>
        </is>
      </c>
      <c r="J237" s="29" t="inlineStr">
        <is>
          <t>Activo</t>
        </is>
      </c>
    </row>
    <row r="238">
      <c r="A238" s="18" t="n">
        <v>337</v>
      </c>
      <c r="B238" s="19" t="inlineStr">
        <is>
          <t>Javier Torres Reyes</t>
        </is>
      </c>
      <c r="C238" s="19" t="inlineStr">
        <is>
          <t>Compras</t>
        </is>
      </c>
      <c r="D238" s="19" t="inlineStr">
        <is>
          <t>Carlos Díaz</t>
        </is>
      </c>
      <c r="E238" s="20" t="inlineStr">
        <is>
          <t>555-6150</t>
        </is>
      </c>
      <c r="F238" s="19" t="inlineStr">
        <is>
          <t>Especialista de Abastecimiento</t>
        </is>
      </c>
      <c r="G238" s="21" t="n">
        <v>20800</v>
      </c>
      <c r="H238" s="22" t="n">
        <v>45761</v>
      </c>
      <c r="I238" s="19" t="inlineStr">
        <is>
          <t>javier.torres@empresa.com</t>
        </is>
      </c>
      <c r="J238" s="23" t="inlineStr">
        <is>
          <t>Activo</t>
        </is>
      </c>
    </row>
    <row r="239">
      <c r="A239" s="24" t="n">
        <v>338</v>
      </c>
      <c r="B239" s="25" t="inlineStr">
        <is>
          <t>María Pérez Mendoza</t>
        </is>
      </c>
      <c r="C239" s="25" t="inlineStr">
        <is>
          <t>Compras</t>
        </is>
      </c>
      <c r="D239" s="25" t="inlineStr">
        <is>
          <t>Carlos Díaz</t>
        </is>
      </c>
      <c r="E239" s="26" t="inlineStr">
        <is>
          <t>555-7340</t>
        </is>
      </c>
      <c r="F239" s="25" t="inlineStr">
        <is>
          <t>Gerente de Compras</t>
        </is>
      </c>
      <c r="G239" s="27" t="n">
        <v>36200</v>
      </c>
      <c r="H239" s="28" t="n">
        <v>45401</v>
      </c>
      <c r="I239" s="25" t="inlineStr">
        <is>
          <t>maria.perez@empresa.com</t>
        </is>
      </c>
      <c r="J239" s="29" t="inlineStr">
        <is>
          <t>Activo</t>
        </is>
      </c>
    </row>
    <row r="240">
      <c r="A240" s="18" t="n">
        <v>339</v>
      </c>
      <c r="B240" s="19" t="inlineStr">
        <is>
          <t>Javier Martínez Ortiz</t>
        </is>
      </c>
      <c r="C240" s="19" t="inlineStr">
        <is>
          <t>Recursos Humanos</t>
        </is>
      </c>
      <c r="D240" s="19" t="inlineStr">
        <is>
          <t>Elena Pastrana</t>
        </is>
      </c>
      <c r="E240" s="20" t="inlineStr">
        <is>
          <t>555-5678</t>
        </is>
      </c>
      <c r="F240" s="19" t="inlineStr">
        <is>
          <t>Analista de Nómina</t>
        </is>
      </c>
      <c r="G240" s="21" t="n">
        <v>24900</v>
      </c>
      <c r="H240" s="22" t="n">
        <v>45943</v>
      </c>
      <c r="I240" s="19" t="inlineStr">
        <is>
          <t>javier.martinez339@empresa.com</t>
        </is>
      </c>
      <c r="J240" s="23" t="inlineStr">
        <is>
          <t>Activo</t>
        </is>
      </c>
    </row>
    <row r="241">
      <c r="A241" s="24" t="n">
        <v>340</v>
      </c>
      <c r="B241" s="25" t="inlineStr">
        <is>
          <t>Patricia González Gómez</t>
        </is>
      </c>
      <c r="C241" s="25" t="inlineStr">
        <is>
          <t>Compras</t>
        </is>
      </c>
      <c r="D241" s="25" t="inlineStr">
        <is>
          <t>Carlos Díaz</t>
        </is>
      </c>
      <c r="E241" s="26" t="inlineStr">
        <is>
          <t>555-3828</t>
        </is>
      </c>
      <c r="F241" s="25" t="inlineStr">
        <is>
          <t>Auxiliar de Compras</t>
        </is>
      </c>
      <c r="G241" s="27" t="n">
        <v>14700</v>
      </c>
      <c r="H241" s="28" t="n">
        <v>46022</v>
      </c>
      <c r="I241" s="25" t="inlineStr">
        <is>
          <t>patricia.gonzalez@empresa.com</t>
        </is>
      </c>
      <c r="J241" s="29" t="inlineStr">
        <is>
          <t>Activo</t>
        </is>
      </c>
    </row>
    <row r="242">
      <c r="A242" s="18" t="n">
        <v>341</v>
      </c>
      <c r="B242" s="19" t="inlineStr">
        <is>
          <t>Luis Chávez Gutiérrez</t>
        </is>
      </c>
      <c r="C242" s="19" t="inlineStr">
        <is>
          <t>Operaciones</t>
        </is>
      </c>
      <c r="D242" s="19" t="inlineStr">
        <is>
          <t>Alejandro Ruiz</t>
        </is>
      </c>
      <c r="E242" s="20" t="inlineStr">
        <is>
          <t>555-2063</t>
        </is>
      </c>
      <c r="F242" s="19" t="inlineStr">
        <is>
          <t>Coordinador de Operaciones</t>
        </is>
      </c>
      <c r="G242" s="21" t="n">
        <v>25600</v>
      </c>
      <c r="H242" s="22" t="n">
        <v>45353</v>
      </c>
      <c r="I242" s="19" t="inlineStr">
        <is>
          <t>luis.chavez@empresa.com</t>
        </is>
      </c>
      <c r="J242" s="23" t="inlineStr">
        <is>
          <t>Activo</t>
        </is>
      </c>
    </row>
    <row r="243">
      <c r="A243" s="24" t="n">
        <v>342</v>
      </c>
      <c r="B243" s="25" t="inlineStr">
        <is>
          <t>Raúl Hernández Medina</t>
        </is>
      </c>
      <c r="C243" s="25" t="inlineStr">
        <is>
          <t>Compras</t>
        </is>
      </c>
      <c r="D243" s="25" t="inlineStr">
        <is>
          <t>Carlos Díaz</t>
        </is>
      </c>
      <c r="E243" s="26" t="inlineStr">
        <is>
          <t>555-6922</t>
        </is>
      </c>
      <c r="F243" s="25" t="inlineStr">
        <is>
          <t>Analista de Compras</t>
        </is>
      </c>
      <c r="G243" s="27" t="n">
        <v>27300</v>
      </c>
      <c r="H243" s="28" t="n">
        <v>45184</v>
      </c>
      <c r="I243" s="25" t="inlineStr">
        <is>
          <t>raul.hernandez@empresa.com</t>
        </is>
      </c>
      <c r="J243" s="29" t="inlineStr">
        <is>
          <t>Activo</t>
        </is>
      </c>
    </row>
    <row r="244">
      <c r="A244" s="18" t="n">
        <v>343</v>
      </c>
      <c r="B244" s="19" t="inlineStr">
        <is>
          <t>Pedro Chávez Díaz</t>
        </is>
      </c>
      <c r="C244" s="19" t="inlineStr">
        <is>
          <t>Compras</t>
        </is>
      </c>
      <c r="D244" s="19" t="inlineStr">
        <is>
          <t>Carlos Díaz</t>
        </is>
      </c>
      <c r="E244" s="20" t="inlineStr">
        <is>
          <t>555-6912</t>
        </is>
      </c>
      <c r="F244" s="19" t="inlineStr">
        <is>
          <t>Gerente de Compras</t>
        </is>
      </c>
      <c r="G244" s="21" t="n">
        <v>32200</v>
      </c>
      <c r="H244" s="22" t="n">
        <v>45370</v>
      </c>
      <c r="I244" s="19" t="inlineStr">
        <is>
          <t>pedro.chavez@empresa.com</t>
        </is>
      </c>
      <c r="J244" s="23" t="inlineStr">
        <is>
          <t>Activo</t>
        </is>
      </c>
    </row>
    <row r="245">
      <c r="A245" s="24" t="n">
        <v>344</v>
      </c>
      <c r="B245" s="25" t="inlineStr">
        <is>
          <t>Alejandro Chávez Jiménez</t>
        </is>
      </c>
      <c r="C245" s="25" t="inlineStr">
        <is>
          <t>Compras</t>
        </is>
      </c>
      <c r="D245" s="25" t="inlineStr">
        <is>
          <t>Carlos Díaz</t>
        </is>
      </c>
      <c r="E245" s="26" t="inlineStr">
        <is>
          <t>555-6067</t>
        </is>
      </c>
      <c r="F245" s="25" t="inlineStr">
        <is>
          <t>Auxiliar de Compras</t>
        </is>
      </c>
      <c r="G245" s="27" t="n">
        <v>11500</v>
      </c>
      <c r="H245" s="28" t="n">
        <v>44731</v>
      </c>
      <c r="I245" s="25" t="inlineStr">
        <is>
          <t>alejandro.chavez344@empresa.com</t>
        </is>
      </c>
      <c r="J245" s="29" t="inlineStr">
        <is>
          <t>Activo</t>
        </is>
      </c>
    </row>
    <row r="246">
      <c r="A246" s="18" t="n">
        <v>345</v>
      </c>
      <c r="B246" s="19" t="inlineStr">
        <is>
          <t>Claudia Morales García</t>
        </is>
      </c>
      <c r="C246" s="19" t="inlineStr">
        <is>
          <t>Recursos Humanos</t>
        </is>
      </c>
      <c r="D246" s="19" t="inlineStr">
        <is>
          <t>Elena Pastrana</t>
        </is>
      </c>
      <c r="E246" s="20" t="inlineStr">
        <is>
          <t>555-2208</t>
        </is>
      </c>
      <c r="F246" s="19" t="inlineStr">
        <is>
          <t>Gerente de RRHH</t>
        </is>
      </c>
      <c r="G246" s="21" t="n">
        <v>37100</v>
      </c>
      <c r="H246" s="22" t="n">
        <v>43614</v>
      </c>
      <c r="I246" s="19" t="inlineStr">
        <is>
          <t>claudia.morales345@empresa.com</t>
        </is>
      </c>
      <c r="J246" s="23" t="inlineStr">
        <is>
          <t>Activo</t>
        </is>
      </c>
    </row>
    <row r="247">
      <c r="A247" s="24" t="n">
        <v>346</v>
      </c>
      <c r="B247" s="25" t="inlineStr">
        <is>
          <t>Ricardo Torres Castillo</t>
        </is>
      </c>
      <c r="C247" s="25" t="inlineStr">
        <is>
          <t>Recursos Humanos</t>
        </is>
      </c>
      <c r="D247" s="25" t="inlineStr">
        <is>
          <t>Elena Pastrana</t>
        </is>
      </c>
      <c r="E247" s="26" t="inlineStr">
        <is>
          <t>555-3981</t>
        </is>
      </c>
      <c r="F247" s="25" t="inlineStr">
        <is>
          <t>Generalista de RRHH</t>
        </is>
      </c>
      <c r="G247" s="27" t="n">
        <v>17000</v>
      </c>
      <c r="H247" s="28" t="n">
        <v>43629</v>
      </c>
      <c r="I247" s="25" t="inlineStr">
        <is>
          <t>ricardo.torres@empresa.com</t>
        </is>
      </c>
      <c r="J247" s="29" t="inlineStr">
        <is>
          <t>Activo</t>
        </is>
      </c>
    </row>
    <row r="248">
      <c r="A248" s="18" t="n">
        <v>347</v>
      </c>
      <c r="B248" s="19" t="inlineStr">
        <is>
          <t>Silvia Medina Ruiz</t>
        </is>
      </c>
      <c r="C248" s="19" t="inlineStr">
        <is>
          <t>Operaciones</t>
        </is>
      </c>
      <c r="D248" s="19" t="inlineStr">
        <is>
          <t>Alejandro Ruiz</t>
        </is>
      </c>
      <c r="E248" s="20" t="inlineStr">
        <is>
          <t>555-3507</t>
        </is>
      </c>
      <c r="F248" s="19" t="inlineStr">
        <is>
          <t>Operador de Logística</t>
        </is>
      </c>
      <c r="G248" s="21" t="n">
        <v>15200</v>
      </c>
      <c r="H248" s="22" t="n">
        <v>44346</v>
      </c>
      <c r="I248" s="19" t="inlineStr">
        <is>
          <t>silvia.medina@empresa.com</t>
        </is>
      </c>
      <c r="J248" s="23" t="inlineStr">
        <is>
          <t>Activo</t>
        </is>
      </c>
    </row>
    <row r="249">
      <c r="A249" s="24" t="n">
        <v>348</v>
      </c>
      <c r="B249" s="25" t="inlineStr">
        <is>
          <t>Jorge Vargas Ortiz</t>
        </is>
      </c>
      <c r="C249" s="25" t="inlineStr">
        <is>
          <t>Compras</t>
        </is>
      </c>
      <c r="D249" s="25" t="inlineStr">
        <is>
          <t>Carlos Díaz</t>
        </is>
      </c>
      <c r="E249" s="26" t="inlineStr">
        <is>
          <t>555-9501</t>
        </is>
      </c>
      <c r="F249" s="25" t="inlineStr">
        <is>
          <t>Especialista de Abastecimiento</t>
        </is>
      </c>
      <c r="G249" s="27" t="n">
        <v>29800</v>
      </c>
      <c r="H249" s="28" t="n">
        <v>44264</v>
      </c>
      <c r="I249" s="25" t="inlineStr">
        <is>
          <t>jorge.vargas348@empresa.com</t>
        </is>
      </c>
      <c r="J249" s="29" t="inlineStr">
        <is>
          <t>Activo</t>
        </is>
      </c>
    </row>
    <row r="250">
      <c r="A250" s="18" t="n">
        <v>349</v>
      </c>
      <c r="B250" s="19" t="inlineStr">
        <is>
          <t>Miguel González Álvarez</t>
        </is>
      </c>
      <c r="C250" s="19" t="inlineStr">
        <is>
          <t>Contabilidad</t>
        </is>
      </c>
      <c r="D250" s="19" t="inlineStr">
        <is>
          <t>Roberto Méndez</t>
        </is>
      </c>
      <c r="E250" s="20" t="inlineStr">
        <is>
          <t>555-5961</t>
        </is>
      </c>
      <c r="F250" s="19" t="inlineStr">
        <is>
          <t>Auditor Interno</t>
        </is>
      </c>
      <c r="G250" s="21" t="n">
        <v>21000</v>
      </c>
      <c r="H250" s="22" t="n">
        <v>45617</v>
      </c>
      <c r="I250" s="19" t="inlineStr">
        <is>
          <t>miguel.gonzalez@empresa.com</t>
        </is>
      </c>
      <c r="J250" s="23" t="inlineStr">
        <is>
          <t>Activo</t>
        </is>
      </c>
    </row>
    <row r="251">
      <c r="A251" s="24" t="n">
        <v>350</v>
      </c>
      <c r="B251" s="25" t="inlineStr">
        <is>
          <t>Roberto Álvarez López</t>
        </is>
      </c>
      <c r="C251" s="25" t="inlineStr">
        <is>
          <t>Contabilidad</t>
        </is>
      </c>
      <c r="D251" s="25" t="inlineStr">
        <is>
          <t>Roberto Méndez</t>
        </is>
      </c>
      <c r="E251" s="26" t="inlineStr">
        <is>
          <t>555-6531</t>
        </is>
      </c>
      <c r="F251" s="25" t="inlineStr">
        <is>
          <t>Contador</t>
        </is>
      </c>
      <c r="G251" s="27" t="n">
        <v>22500</v>
      </c>
      <c r="H251" s="28" t="n">
        <v>45409</v>
      </c>
      <c r="I251" s="25" t="inlineStr">
        <is>
          <t>roberto.alvarez@empresa.com</t>
        </is>
      </c>
      <c r="J251" s="29" t="inlineStr">
        <is>
          <t>Activo</t>
        </is>
      </c>
    </row>
    <row r="252">
      <c r="A252" s="18" t="n">
        <v>351</v>
      </c>
      <c r="B252" s="19" t="inlineStr">
        <is>
          <t>Beatriz Pérez Torres</t>
        </is>
      </c>
      <c r="C252" s="19" t="inlineStr">
        <is>
          <t>Ventas</t>
        </is>
      </c>
      <c r="D252" s="19" t="inlineStr">
        <is>
          <t>Laura Gómez</t>
        </is>
      </c>
      <c r="E252" s="20" t="inlineStr">
        <is>
          <t>555-4453</t>
        </is>
      </c>
      <c r="F252" s="19" t="inlineStr">
        <is>
          <t>Coordinador de Ventas</t>
        </is>
      </c>
      <c r="G252" s="21" t="n">
        <v>26200</v>
      </c>
      <c r="H252" s="22" t="n">
        <v>45444</v>
      </c>
      <c r="I252" s="19" t="inlineStr">
        <is>
          <t>beatriz.perez@empresa.com</t>
        </is>
      </c>
      <c r="J252" s="23" t="inlineStr">
        <is>
          <t>Activo</t>
        </is>
      </c>
    </row>
    <row r="253">
      <c r="A253" s="24" t="n">
        <v>352</v>
      </c>
      <c r="B253" s="25" t="inlineStr">
        <is>
          <t>Ricardo Pérez Morales</t>
        </is>
      </c>
      <c r="C253" s="25" t="inlineStr">
        <is>
          <t>Marketing</t>
        </is>
      </c>
      <c r="D253" s="25" t="inlineStr">
        <is>
          <t>Sofía Castro</t>
        </is>
      </c>
      <c r="E253" s="26" t="inlineStr">
        <is>
          <t>555-5949</t>
        </is>
      </c>
      <c r="F253" s="25" t="inlineStr">
        <is>
          <t>Coordinador de Marketing</t>
        </is>
      </c>
      <c r="G253" s="27" t="n">
        <v>26700</v>
      </c>
      <c r="H253" s="28" t="n">
        <v>45079</v>
      </c>
      <c r="I253" s="25" t="inlineStr">
        <is>
          <t>ricardo.perez@empresa.com</t>
        </is>
      </c>
      <c r="J253" s="29" t="inlineStr">
        <is>
          <t>Activo</t>
        </is>
      </c>
    </row>
    <row r="254">
      <c r="A254" s="18" t="n">
        <v>353</v>
      </c>
      <c r="B254" s="19" t="inlineStr">
        <is>
          <t>Mónica Gutiérrez Flores</t>
        </is>
      </c>
      <c r="C254" s="19" t="inlineStr">
        <is>
          <t>Sistemas</t>
        </is>
      </c>
      <c r="D254" s="19" t="inlineStr">
        <is>
          <t>Miguel López</t>
        </is>
      </c>
      <c r="E254" s="20" t="inlineStr">
        <is>
          <t>555-1981</t>
        </is>
      </c>
      <c r="F254" s="19" t="inlineStr">
        <is>
          <t>Administrador de Redes</t>
        </is>
      </c>
      <c r="G254" s="21" t="n">
        <v>21800</v>
      </c>
      <c r="H254" s="22" t="n">
        <v>43748</v>
      </c>
      <c r="I254" s="19" t="inlineStr">
        <is>
          <t>monica.gutierrez@empresa.com</t>
        </is>
      </c>
      <c r="J254" s="23" t="inlineStr">
        <is>
          <t>Activo</t>
        </is>
      </c>
    </row>
    <row r="255">
      <c r="A255" s="24" t="n">
        <v>354</v>
      </c>
      <c r="B255" s="25" t="inlineStr">
        <is>
          <t>Patricia Castillo González</t>
        </is>
      </c>
      <c r="C255" s="25" t="inlineStr">
        <is>
          <t>Sistemas</t>
        </is>
      </c>
      <c r="D255" s="25" t="inlineStr">
        <is>
          <t>Miguel López</t>
        </is>
      </c>
      <c r="E255" s="26" t="inlineStr">
        <is>
          <t>555-6121</t>
        </is>
      </c>
      <c r="F255" s="25" t="inlineStr">
        <is>
          <t>Gerente de TI</t>
        </is>
      </c>
      <c r="G255" s="27" t="n">
        <v>46300</v>
      </c>
      <c r="H255" s="28" t="n">
        <v>46043</v>
      </c>
      <c r="I255" s="25" t="inlineStr">
        <is>
          <t>patricia.castillo@empresa.com</t>
        </is>
      </c>
      <c r="J255" s="29" t="inlineStr">
        <is>
          <t>Activo</t>
        </is>
      </c>
    </row>
    <row r="256">
      <c r="A256" s="18" t="n">
        <v>355</v>
      </c>
      <c r="B256" s="19" t="inlineStr">
        <is>
          <t>Lucía Flores Díaz</t>
        </is>
      </c>
      <c r="C256" s="19" t="inlineStr">
        <is>
          <t>Operaciones</t>
        </is>
      </c>
      <c r="D256" s="19" t="inlineStr">
        <is>
          <t>Alejandro Ruiz</t>
        </is>
      </c>
      <c r="E256" s="20" t="inlineStr">
        <is>
          <t>555-2739</t>
        </is>
      </c>
      <c r="F256" s="19" t="inlineStr">
        <is>
          <t>Coordinador de Operaciones</t>
        </is>
      </c>
      <c r="G256" s="21" t="n">
        <v>31100</v>
      </c>
      <c r="H256" s="22" t="n">
        <v>44408</v>
      </c>
      <c r="I256" s="19" t="inlineStr">
        <is>
          <t>lucia.flores@empresa.com</t>
        </is>
      </c>
      <c r="J256" s="23" t="inlineStr">
        <is>
          <t>Activo</t>
        </is>
      </c>
    </row>
    <row r="257">
      <c r="A257" s="24" t="n">
        <v>356</v>
      </c>
      <c r="B257" s="25" t="inlineStr">
        <is>
          <t>María Martínez Castillo</t>
        </is>
      </c>
      <c r="C257" s="25" t="inlineStr">
        <is>
          <t>Compras</t>
        </is>
      </c>
      <c r="D257" s="25" t="inlineStr">
        <is>
          <t>Carlos Díaz</t>
        </is>
      </c>
      <c r="E257" s="26" t="inlineStr">
        <is>
          <t>555-1829</t>
        </is>
      </c>
      <c r="F257" s="25" t="inlineStr">
        <is>
          <t>Analista de Compras</t>
        </is>
      </c>
      <c r="G257" s="27" t="n">
        <v>15800</v>
      </c>
      <c r="H257" s="28" t="n">
        <v>44289</v>
      </c>
      <c r="I257" s="25" t="inlineStr">
        <is>
          <t>maria.martinez356@empresa.com</t>
        </is>
      </c>
      <c r="J257" s="29" t="inlineStr">
        <is>
          <t>Activo</t>
        </is>
      </c>
    </row>
    <row r="258">
      <c r="A258" s="18" t="n">
        <v>357</v>
      </c>
      <c r="B258" s="19" t="inlineStr">
        <is>
          <t>Beatriz Cruz Vázquez</t>
        </is>
      </c>
      <c r="C258" s="19" t="inlineStr">
        <is>
          <t>Compras</t>
        </is>
      </c>
      <c r="D258" s="19" t="inlineStr">
        <is>
          <t>Carlos Díaz</t>
        </is>
      </c>
      <c r="E258" s="20" t="inlineStr">
        <is>
          <t>555-6364</t>
        </is>
      </c>
      <c r="F258" s="19" t="inlineStr">
        <is>
          <t>Analista de Compras</t>
        </is>
      </c>
      <c r="G258" s="21" t="n">
        <v>27600</v>
      </c>
      <c r="H258" s="22" t="n">
        <v>45467</v>
      </c>
      <c r="I258" s="19" t="inlineStr">
        <is>
          <t>beatriz.cruz357@empresa.com</t>
        </is>
      </c>
      <c r="J258" s="23" t="inlineStr">
        <is>
          <t>Activo</t>
        </is>
      </c>
    </row>
    <row r="259">
      <c r="A259" s="24" t="n">
        <v>358</v>
      </c>
      <c r="B259" s="25" t="inlineStr">
        <is>
          <t>Pedro Ramos López</t>
        </is>
      </c>
      <c r="C259" s="25" t="inlineStr">
        <is>
          <t>Recursos Humanos</t>
        </is>
      </c>
      <c r="D259" s="25" t="inlineStr">
        <is>
          <t>Elena Pastrana</t>
        </is>
      </c>
      <c r="E259" s="26" t="inlineStr">
        <is>
          <t>555-6055</t>
        </is>
      </c>
      <c r="F259" s="25" t="inlineStr">
        <is>
          <t>Gerente de RRHH</t>
        </is>
      </c>
      <c r="G259" s="27" t="n">
        <v>34400</v>
      </c>
      <c r="H259" s="28" t="n">
        <v>45138</v>
      </c>
      <c r="I259" s="25" t="inlineStr">
        <is>
          <t>pedro.ramos@empresa.com</t>
        </is>
      </c>
      <c r="J259" s="29" t="inlineStr">
        <is>
          <t>Activo</t>
        </is>
      </c>
    </row>
    <row r="260">
      <c r="A260" s="18" t="n">
        <v>359</v>
      </c>
      <c r="B260" s="19" t="inlineStr">
        <is>
          <t>Diego García Castillo</t>
        </is>
      </c>
      <c r="C260" s="19" t="inlineStr">
        <is>
          <t>Compras</t>
        </is>
      </c>
      <c r="D260" s="19" t="inlineStr">
        <is>
          <t>Carlos Díaz</t>
        </is>
      </c>
      <c r="E260" s="20" t="inlineStr">
        <is>
          <t>555-6781</t>
        </is>
      </c>
      <c r="F260" s="19" t="inlineStr">
        <is>
          <t>Analista de Compras</t>
        </is>
      </c>
      <c r="G260" s="21" t="n">
        <v>23800</v>
      </c>
      <c r="H260" s="22" t="n">
        <v>43300</v>
      </c>
      <c r="I260" s="19" t="inlineStr">
        <is>
          <t>diego.garcia@empresa.com</t>
        </is>
      </c>
      <c r="J260" s="23" t="inlineStr">
        <is>
          <t>Activo</t>
        </is>
      </c>
    </row>
    <row r="261">
      <c r="A261" s="24" t="n">
        <v>360</v>
      </c>
      <c r="B261" s="25" t="inlineStr">
        <is>
          <t>Patricia Cruz Castro</t>
        </is>
      </c>
      <c r="C261" s="25" t="inlineStr">
        <is>
          <t>Operaciones</t>
        </is>
      </c>
      <c r="D261" s="25" t="inlineStr">
        <is>
          <t>Alejandro Ruiz</t>
        </is>
      </c>
      <c r="E261" s="26" t="inlineStr">
        <is>
          <t>555-9793</t>
        </is>
      </c>
      <c r="F261" s="25" t="inlineStr">
        <is>
          <t>Gerente de Operaciones</t>
        </is>
      </c>
      <c r="G261" s="27" t="n">
        <v>40600</v>
      </c>
      <c r="H261" s="28" t="n">
        <v>43134</v>
      </c>
      <c r="I261" s="25" t="inlineStr">
        <is>
          <t>patricia.cruz360@empresa.com</t>
        </is>
      </c>
      <c r="J261" s="29" t="inlineStr">
        <is>
          <t>Activo</t>
        </is>
      </c>
    </row>
    <row r="262">
      <c r="A262" s="18" t="n">
        <v>361</v>
      </c>
      <c r="B262" s="19" t="inlineStr">
        <is>
          <t>Carmen Díaz Castro</t>
        </is>
      </c>
      <c r="C262" s="19" t="inlineStr">
        <is>
          <t>Sistemas</t>
        </is>
      </c>
      <c r="D262" s="19" t="inlineStr">
        <is>
          <t>Miguel López</t>
        </is>
      </c>
      <c r="E262" s="20" t="inlineStr">
        <is>
          <t>555-6995</t>
        </is>
      </c>
      <c r="F262" s="19" t="inlineStr">
        <is>
          <t>Soporte Técnico</t>
        </is>
      </c>
      <c r="G262" s="21" t="n">
        <v>32700</v>
      </c>
      <c r="H262" s="22" t="n">
        <v>43286</v>
      </c>
      <c r="I262" s="19" t="inlineStr">
        <is>
          <t>carmen.diaz@empresa.com</t>
        </is>
      </c>
      <c r="J262" s="23" t="inlineStr">
        <is>
          <t>Activo</t>
        </is>
      </c>
    </row>
    <row r="263">
      <c r="A263" s="24" t="n">
        <v>362</v>
      </c>
      <c r="B263" s="25" t="inlineStr">
        <is>
          <t>Francisco Jiménez González</t>
        </is>
      </c>
      <c r="C263" s="25" t="inlineStr">
        <is>
          <t>Sistemas</t>
        </is>
      </c>
      <c r="D263" s="25" t="inlineStr">
        <is>
          <t>Miguel López</t>
        </is>
      </c>
      <c r="E263" s="26" t="inlineStr">
        <is>
          <t>555-2204</t>
        </is>
      </c>
      <c r="F263" s="25" t="inlineStr">
        <is>
          <t>Gerente de TI</t>
        </is>
      </c>
      <c r="G263" s="27" t="n">
        <v>48700</v>
      </c>
      <c r="H263" s="28" t="n">
        <v>44683</v>
      </c>
      <c r="I263" s="25" t="inlineStr">
        <is>
          <t>francisco.jimenez@empresa.com</t>
        </is>
      </c>
      <c r="J263" s="29" t="inlineStr">
        <is>
          <t>Activo</t>
        </is>
      </c>
    </row>
    <row r="264">
      <c r="A264" s="18" t="n">
        <v>363</v>
      </c>
      <c r="B264" s="19" t="inlineStr">
        <is>
          <t>Javier Jiménez Martínez</t>
        </is>
      </c>
      <c r="C264" s="19" t="inlineStr">
        <is>
          <t>Operaciones</t>
        </is>
      </c>
      <c r="D264" s="19" t="inlineStr">
        <is>
          <t>Alejandro Ruiz</t>
        </is>
      </c>
      <c r="E264" s="20" t="inlineStr">
        <is>
          <t>555-2584</t>
        </is>
      </c>
      <c r="F264" s="19" t="inlineStr">
        <is>
          <t>Operador de Logística</t>
        </is>
      </c>
      <c r="G264" s="21" t="n">
        <v>12000</v>
      </c>
      <c r="H264" s="22" t="n">
        <v>44714</v>
      </c>
      <c r="I264" s="19" t="inlineStr">
        <is>
          <t>javier.jimenez@empresa.com</t>
        </is>
      </c>
      <c r="J264" s="23" t="inlineStr">
        <is>
          <t>Activo</t>
        </is>
      </c>
    </row>
    <row r="265">
      <c r="A265" s="24" t="n">
        <v>364</v>
      </c>
      <c r="B265" s="25" t="inlineStr">
        <is>
          <t>Jorge Jiménez Ramírez</t>
        </is>
      </c>
      <c r="C265" s="25" t="inlineStr">
        <is>
          <t>Operaciones</t>
        </is>
      </c>
      <c r="D265" s="25" t="inlineStr">
        <is>
          <t>Alejandro Ruiz</t>
        </is>
      </c>
      <c r="E265" s="26" t="inlineStr">
        <is>
          <t>555-9341</t>
        </is>
      </c>
      <c r="F265" s="25" t="inlineStr">
        <is>
          <t>Supervisor de Planta</t>
        </is>
      </c>
      <c r="G265" s="27" t="n">
        <v>20800</v>
      </c>
      <c r="H265" s="28" t="n">
        <v>44745</v>
      </c>
      <c r="I265" s="25" t="inlineStr">
        <is>
          <t>jorge.jimenez@empresa.com</t>
        </is>
      </c>
      <c r="J265" s="29" t="inlineStr">
        <is>
          <t>Activo</t>
        </is>
      </c>
    </row>
    <row r="266">
      <c r="A266" s="18" t="n">
        <v>365</v>
      </c>
      <c r="B266" s="19" t="inlineStr">
        <is>
          <t>Ana Ruiz Díaz</t>
        </is>
      </c>
      <c r="C266" s="19" t="inlineStr">
        <is>
          <t>Marketing</t>
        </is>
      </c>
      <c r="D266" s="19" t="inlineStr">
        <is>
          <t>Sofía Castro</t>
        </is>
      </c>
      <c r="E266" s="20" t="inlineStr">
        <is>
          <t>555-8761</t>
        </is>
      </c>
      <c r="F266" s="19" t="inlineStr">
        <is>
          <t>Coordinador de Marketing</t>
        </is>
      </c>
      <c r="G266" s="21" t="n">
        <v>29400</v>
      </c>
      <c r="H266" s="22" t="n">
        <v>45228</v>
      </c>
      <c r="I266" s="19" t="inlineStr">
        <is>
          <t>ana.ruiz@empresa.com</t>
        </is>
      </c>
      <c r="J266" s="23" t="inlineStr">
        <is>
          <t>Activo</t>
        </is>
      </c>
    </row>
    <row r="267">
      <c r="A267" s="24" t="n">
        <v>366</v>
      </c>
      <c r="B267" s="25" t="inlineStr">
        <is>
          <t>Gabriela Castro García</t>
        </is>
      </c>
      <c r="C267" s="25" t="inlineStr">
        <is>
          <t>Compras</t>
        </is>
      </c>
      <c r="D267" s="25" t="inlineStr">
        <is>
          <t>Carlos Díaz</t>
        </is>
      </c>
      <c r="E267" s="26" t="inlineStr">
        <is>
          <t>555-6218</t>
        </is>
      </c>
      <c r="F267" s="25" t="inlineStr">
        <is>
          <t>Especialista de Abastecimiento</t>
        </is>
      </c>
      <c r="G267" s="27" t="n">
        <v>29500</v>
      </c>
      <c r="H267" s="28" t="n">
        <v>43766</v>
      </c>
      <c r="I267" s="25" t="inlineStr">
        <is>
          <t>gabriela.castro@empresa.com</t>
        </is>
      </c>
      <c r="J267" s="29" t="inlineStr">
        <is>
          <t>Activo</t>
        </is>
      </c>
    </row>
    <row r="268">
      <c r="A268" s="18" t="n">
        <v>367</v>
      </c>
      <c r="B268" s="19" t="inlineStr">
        <is>
          <t>Elena Reyes Sánchez</t>
        </is>
      </c>
      <c r="C268" s="19" t="inlineStr">
        <is>
          <t>Contabilidad</t>
        </is>
      </c>
      <c r="D268" s="19" t="inlineStr">
        <is>
          <t>Roberto Méndez</t>
        </is>
      </c>
      <c r="E268" s="20" t="inlineStr">
        <is>
          <t>555-5911</t>
        </is>
      </c>
      <c r="F268" s="19" t="inlineStr">
        <is>
          <t>Gerente de Finanzas</t>
        </is>
      </c>
      <c r="G268" s="21" t="n">
        <v>47600</v>
      </c>
      <c r="H268" s="22" t="n">
        <v>45046</v>
      </c>
      <c r="I268" s="19" t="inlineStr">
        <is>
          <t>elena.reyes367@empresa.com</t>
        </is>
      </c>
      <c r="J268" s="23" t="inlineStr">
        <is>
          <t>Activo</t>
        </is>
      </c>
    </row>
    <row r="269">
      <c r="A269" s="24" t="n">
        <v>368</v>
      </c>
      <c r="B269" s="25" t="inlineStr">
        <is>
          <t>Lucía Sánchez Gutiérrez</t>
        </is>
      </c>
      <c r="C269" s="25" t="inlineStr">
        <is>
          <t>Ventas</t>
        </is>
      </c>
      <c r="D269" s="25" t="inlineStr">
        <is>
          <t>Laura Gómez</t>
        </is>
      </c>
      <c r="E269" s="26" t="inlineStr">
        <is>
          <t>555-6040</t>
        </is>
      </c>
      <c r="F269" s="25" t="inlineStr">
        <is>
          <t>Gerente de Ventas</t>
        </is>
      </c>
      <c r="G269" s="27" t="n">
        <v>35100</v>
      </c>
      <c r="H269" s="28" t="n">
        <v>46071</v>
      </c>
      <c r="I269" s="25" t="inlineStr">
        <is>
          <t>lucia.sanchez368@empresa.com</t>
        </is>
      </c>
      <c r="J269" s="29" t="inlineStr">
        <is>
          <t>Activo</t>
        </is>
      </c>
    </row>
    <row r="270">
      <c r="A270" s="18" t="n">
        <v>369</v>
      </c>
      <c r="B270" s="19" t="inlineStr">
        <is>
          <t>Gabriela Morales Martínez</t>
        </is>
      </c>
      <c r="C270" s="19" t="inlineStr">
        <is>
          <t>Marketing</t>
        </is>
      </c>
      <c r="D270" s="19" t="inlineStr">
        <is>
          <t>Sofía Castro</t>
        </is>
      </c>
      <c r="E270" s="20" t="inlineStr">
        <is>
          <t>555-1841</t>
        </is>
      </c>
      <c r="F270" s="19" t="inlineStr">
        <is>
          <t>Diseñador Gráfico</t>
        </is>
      </c>
      <c r="G270" s="21" t="n">
        <v>28000</v>
      </c>
      <c r="H270" s="22" t="n">
        <v>45491</v>
      </c>
      <c r="I270" s="19" t="inlineStr">
        <is>
          <t>gabriela.morales@empresa.com</t>
        </is>
      </c>
      <c r="J270" s="23" t="inlineStr">
        <is>
          <t>Activo</t>
        </is>
      </c>
    </row>
    <row r="271">
      <c r="A271" s="24" t="n">
        <v>370</v>
      </c>
      <c r="B271" s="25" t="inlineStr">
        <is>
          <t>Roberto Álvarez Mendoza</t>
        </is>
      </c>
      <c r="C271" s="25" t="inlineStr">
        <is>
          <t>Contabilidad</t>
        </is>
      </c>
      <c r="D271" s="25" t="inlineStr">
        <is>
          <t>Roberto Méndez</t>
        </is>
      </c>
      <c r="E271" s="26" t="inlineStr">
        <is>
          <t>555-4968</t>
        </is>
      </c>
      <c r="F271" s="25" t="inlineStr">
        <is>
          <t>Gerente de Finanzas</t>
        </is>
      </c>
      <c r="G271" s="27" t="n">
        <v>40800</v>
      </c>
      <c r="H271" s="28" t="n">
        <v>43230</v>
      </c>
      <c r="I271" s="25" t="inlineStr">
        <is>
          <t>roberto.alvarez@empresa.com</t>
        </is>
      </c>
      <c r="J271" s="29" t="inlineStr">
        <is>
          <t>Activo</t>
        </is>
      </c>
    </row>
    <row r="272">
      <c r="A272" s="18" t="n">
        <v>371</v>
      </c>
      <c r="B272" s="19" t="inlineStr">
        <is>
          <t>Fernando Gómez González</t>
        </is>
      </c>
      <c r="C272" s="19" t="inlineStr">
        <is>
          <t>Ventas</t>
        </is>
      </c>
      <c r="D272" s="19" t="inlineStr">
        <is>
          <t>Laura Gómez</t>
        </is>
      </c>
      <c r="E272" s="20" t="inlineStr">
        <is>
          <t>555-7861</t>
        </is>
      </c>
      <c r="F272" s="19" t="inlineStr">
        <is>
          <t>Gerente de Ventas</t>
        </is>
      </c>
      <c r="G272" s="21" t="n">
        <v>32900</v>
      </c>
      <c r="H272" s="22" t="n">
        <v>43721</v>
      </c>
      <c r="I272" s="19" t="inlineStr">
        <is>
          <t>fernando.gomez@empresa.com</t>
        </is>
      </c>
      <c r="J272" s="23" t="inlineStr">
        <is>
          <t>Activo</t>
        </is>
      </c>
    </row>
    <row r="273">
      <c r="A273" s="24" t="n">
        <v>372</v>
      </c>
      <c r="B273" s="25" t="inlineStr">
        <is>
          <t>Pedro Vázquez García</t>
        </is>
      </c>
      <c r="C273" s="25" t="inlineStr">
        <is>
          <t>Operaciones</t>
        </is>
      </c>
      <c r="D273" s="25" t="inlineStr">
        <is>
          <t>Alejandro Ruiz</t>
        </is>
      </c>
      <c r="E273" s="26" t="inlineStr">
        <is>
          <t>555-3262</t>
        </is>
      </c>
      <c r="F273" s="25" t="inlineStr">
        <is>
          <t>Gerente de Operaciones</t>
        </is>
      </c>
      <c r="G273" s="27" t="n">
        <v>37000</v>
      </c>
      <c r="H273" s="28" t="n">
        <v>45225</v>
      </c>
      <c r="I273" s="25" t="inlineStr">
        <is>
          <t>pedro.vazquez@empresa.com</t>
        </is>
      </c>
      <c r="J273" s="29" t="inlineStr">
        <is>
          <t>Activo</t>
        </is>
      </c>
    </row>
    <row r="274">
      <c r="A274" s="18" t="n">
        <v>373</v>
      </c>
      <c r="B274" s="19" t="inlineStr">
        <is>
          <t>Jorge Gutiérrez Morales</t>
        </is>
      </c>
      <c r="C274" s="19" t="inlineStr">
        <is>
          <t>Contabilidad</t>
        </is>
      </c>
      <c r="D274" s="19" t="inlineStr">
        <is>
          <t>Roberto Méndez</t>
        </is>
      </c>
      <c r="E274" s="20" t="inlineStr">
        <is>
          <t>555-3837</t>
        </is>
      </c>
      <c r="F274" s="19" t="inlineStr">
        <is>
          <t>Gerente de Finanzas</t>
        </is>
      </c>
      <c r="G274" s="21" t="n">
        <v>43500</v>
      </c>
      <c r="H274" s="22" t="n">
        <v>44983</v>
      </c>
      <c r="I274" s="19" t="inlineStr">
        <is>
          <t>jorge.gutierrez373@empresa.com</t>
        </is>
      </c>
      <c r="J274" s="23" t="inlineStr">
        <is>
          <t>Activo</t>
        </is>
      </c>
    </row>
    <row r="275">
      <c r="A275" s="24" t="n">
        <v>374</v>
      </c>
      <c r="B275" s="25" t="inlineStr">
        <is>
          <t>Andrea Ramos Medina</t>
        </is>
      </c>
      <c r="C275" s="25" t="inlineStr">
        <is>
          <t>Marketing</t>
        </is>
      </c>
      <c r="D275" s="25" t="inlineStr">
        <is>
          <t>Sofía Castro</t>
        </is>
      </c>
      <c r="E275" s="26" t="inlineStr">
        <is>
          <t>555-8932</t>
        </is>
      </c>
      <c r="F275" s="25" t="inlineStr">
        <is>
          <t>Coordinador de Marketing</t>
        </is>
      </c>
      <c r="G275" s="27" t="n">
        <v>26200</v>
      </c>
      <c r="H275" s="28" t="n">
        <v>43888</v>
      </c>
      <c r="I275" s="25" t="inlineStr">
        <is>
          <t>andrea.ramos374@empresa.com</t>
        </is>
      </c>
      <c r="J275" s="29" t="inlineStr">
        <is>
          <t>Activo</t>
        </is>
      </c>
    </row>
    <row r="276">
      <c r="A276" s="18" t="n">
        <v>375</v>
      </c>
      <c r="B276" s="19" t="inlineStr">
        <is>
          <t>Miguel Jiménez Hernández</t>
        </is>
      </c>
      <c r="C276" s="19" t="inlineStr">
        <is>
          <t>Compras</t>
        </is>
      </c>
      <c r="D276" s="19" t="inlineStr">
        <is>
          <t>Carlos Díaz</t>
        </is>
      </c>
      <c r="E276" s="20" t="inlineStr">
        <is>
          <t>555-5735</t>
        </is>
      </c>
      <c r="F276" s="19" t="inlineStr">
        <is>
          <t>Especialista de Abastecimiento</t>
        </is>
      </c>
      <c r="G276" s="21" t="n">
        <v>26900</v>
      </c>
      <c r="H276" s="22" t="n">
        <v>45988</v>
      </c>
      <c r="I276" s="19" t="inlineStr">
        <is>
          <t>miguel.jimenez@empresa.com</t>
        </is>
      </c>
      <c r="J276" s="23" t="inlineStr">
        <is>
          <t>Activo</t>
        </is>
      </c>
    </row>
    <row r="277">
      <c r="A277" s="24" t="n">
        <v>376</v>
      </c>
      <c r="B277" s="25" t="inlineStr">
        <is>
          <t>Fernando Morales Sánchez</t>
        </is>
      </c>
      <c r="C277" s="25" t="inlineStr">
        <is>
          <t>Recursos Humanos</t>
        </is>
      </c>
      <c r="D277" s="25" t="inlineStr">
        <is>
          <t>Elena Pastrana</t>
        </is>
      </c>
      <c r="E277" s="26" t="inlineStr">
        <is>
          <t>555-5480</t>
        </is>
      </c>
      <c r="F277" s="25" t="inlineStr">
        <is>
          <t>Generalista de RRHH</t>
        </is>
      </c>
      <c r="G277" s="27" t="n">
        <v>24100</v>
      </c>
      <c r="H277" s="28" t="n">
        <v>44279</v>
      </c>
      <c r="I277" s="25" t="inlineStr">
        <is>
          <t>fernando.morales@empresa.com</t>
        </is>
      </c>
      <c r="J277" s="29" t="inlineStr">
        <is>
          <t>Activo</t>
        </is>
      </c>
    </row>
    <row r="278">
      <c r="A278" s="18" t="n">
        <v>377</v>
      </c>
      <c r="B278" s="19" t="inlineStr">
        <is>
          <t>Andrea Jiménez Flores</t>
        </is>
      </c>
      <c r="C278" s="19" t="inlineStr">
        <is>
          <t>Recursos Humanos</t>
        </is>
      </c>
      <c r="D278" s="19" t="inlineStr">
        <is>
          <t>Elena Pastrana</t>
        </is>
      </c>
      <c r="E278" s="20" t="inlineStr">
        <is>
          <t>555-3399</t>
        </is>
      </c>
      <c r="F278" s="19" t="inlineStr">
        <is>
          <t>Generalista de RRHH</t>
        </is>
      </c>
      <c r="G278" s="21" t="n">
        <v>27600</v>
      </c>
      <c r="H278" s="22" t="n">
        <v>44290</v>
      </c>
      <c r="I278" s="19" t="inlineStr">
        <is>
          <t>andrea.jimenez@empresa.com</t>
        </is>
      </c>
      <c r="J278" s="23" t="inlineStr">
        <is>
          <t>Activo</t>
        </is>
      </c>
    </row>
    <row r="279">
      <c r="A279" s="24" t="n">
        <v>378</v>
      </c>
      <c r="B279" s="25" t="inlineStr">
        <is>
          <t>Fernando Torres Ramírez</t>
        </is>
      </c>
      <c r="C279" s="25" t="inlineStr">
        <is>
          <t>Recursos Humanos</t>
        </is>
      </c>
      <c r="D279" s="25" t="inlineStr">
        <is>
          <t>Elena Pastrana</t>
        </is>
      </c>
      <c r="E279" s="26" t="inlineStr">
        <is>
          <t>555-8849</t>
        </is>
      </c>
      <c r="F279" s="25" t="inlineStr">
        <is>
          <t>Generalista de RRHH</t>
        </is>
      </c>
      <c r="G279" s="27" t="n">
        <v>27100</v>
      </c>
      <c r="H279" s="28" t="n">
        <v>43977</v>
      </c>
      <c r="I279" s="25" t="inlineStr">
        <is>
          <t>fernando.torres@empresa.com</t>
        </is>
      </c>
      <c r="J279" s="29" t="inlineStr">
        <is>
          <t>Activo</t>
        </is>
      </c>
    </row>
    <row r="280">
      <c r="A280" s="18" t="n">
        <v>379</v>
      </c>
      <c r="B280" s="19" t="inlineStr">
        <is>
          <t>Isabel Martínez Vargas</t>
        </is>
      </c>
      <c r="C280" s="19" t="inlineStr">
        <is>
          <t>Contabilidad</t>
        </is>
      </c>
      <c r="D280" s="19" t="inlineStr">
        <is>
          <t>Roberto Méndez</t>
        </is>
      </c>
      <c r="E280" s="20" t="inlineStr">
        <is>
          <t>555-2789</t>
        </is>
      </c>
      <c r="F280" s="19" t="inlineStr">
        <is>
          <t>Auditor Interno</t>
        </is>
      </c>
      <c r="G280" s="21" t="n">
        <v>21300</v>
      </c>
      <c r="H280" s="22" t="n">
        <v>45622</v>
      </c>
      <c r="I280" s="19" t="inlineStr">
        <is>
          <t>isabel.martinez379@empresa.com</t>
        </is>
      </c>
      <c r="J280" s="23" t="inlineStr">
        <is>
          <t>Activo</t>
        </is>
      </c>
    </row>
    <row r="281">
      <c r="A281" s="24" t="n">
        <v>380</v>
      </c>
      <c r="B281" s="25" t="inlineStr">
        <is>
          <t>Sofía Rodríguez Ruiz</t>
        </is>
      </c>
      <c r="C281" s="25" t="inlineStr">
        <is>
          <t>Marketing</t>
        </is>
      </c>
      <c r="D281" s="25" t="inlineStr">
        <is>
          <t>Sofía Castro</t>
        </is>
      </c>
      <c r="E281" s="26" t="inlineStr">
        <is>
          <t>555-4814</t>
        </is>
      </c>
      <c r="F281" s="25" t="inlineStr">
        <is>
          <t>Diseñador Gráfico</t>
        </is>
      </c>
      <c r="G281" s="27" t="n">
        <v>26700</v>
      </c>
      <c r="H281" s="28" t="n">
        <v>43316</v>
      </c>
      <c r="I281" s="25" t="inlineStr">
        <is>
          <t>sofia.rodriguez@empresa.com</t>
        </is>
      </c>
      <c r="J281" s="29" t="inlineStr">
        <is>
          <t>Activo</t>
        </is>
      </c>
    </row>
    <row r="282">
      <c r="A282" s="18" t="n">
        <v>381</v>
      </c>
      <c r="B282" s="19" t="inlineStr">
        <is>
          <t>Jorge Ortiz Morales</t>
        </is>
      </c>
      <c r="C282" s="19" t="inlineStr">
        <is>
          <t>Ventas</t>
        </is>
      </c>
      <c r="D282" s="19" t="inlineStr">
        <is>
          <t>Laura Gómez</t>
        </is>
      </c>
      <c r="E282" s="20" t="inlineStr">
        <is>
          <t>555-3587</t>
        </is>
      </c>
      <c r="F282" s="19" t="inlineStr">
        <is>
          <t>Asesor Comercial</t>
        </is>
      </c>
      <c r="G282" s="21" t="n">
        <v>15600</v>
      </c>
      <c r="H282" s="22" t="n">
        <v>44767</v>
      </c>
      <c r="I282" s="19" t="inlineStr">
        <is>
          <t>jorge.ortiz@empresa.com</t>
        </is>
      </c>
      <c r="J282" s="23" t="inlineStr">
        <is>
          <t>Activo</t>
        </is>
      </c>
    </row>
    <row r="283">
      <c r="A283" s="24" t="n">
        <v>382</v>
      </c>
      <c r="B283" s="25" t="inlineStr">
        <is>
          <t>Raúl Castro Morales</t>
        </is>
      </c>
      <c r="C283" s="25" t="inlineStr">
        <is>
          <t>Recursos Humanos</t>
        </is>
      </c>
      <c r="D283" s="25" t="inlineStr">
        <is>
          <t>Elena Pastrana</t>
        </is>
      </c>
      <c r="E283" s="26" t="inlineStr">
        <is>
          <t>555-5706</t>
        </is>
      </c>
      <c r="F283" s="25" t="inlineStr">
        <is>
          <t>Analista de Nómina</t>
        </is>
      </c>
      <c r="G283" s="27" t="n">
        <v>27300</v>
      </c>
      <c r="H283" s="28" t="n">
        <v>44416</v>
      </c>
      <c r="I283" s="25" t="inlineStr">
        <is>
          <t>raul.castro@empresa.com</t>
        </is>
      </c>
      <c r="J283" s="29" t="inlineStr">
        <is>
          <t>Activo</t>
        </is>
      </c>
    </row>
    <row r="284">
      <c r="A284" s="18" t="n">
        <v>383</v>
      </c>
      <c r="B284" s="19" t="inlineStr">
        <is>
          <t>Ana Vargas Ramos</t>
        </is>
      </c>
      <c r="C284" s="19" t="inlineStr">
        <is>
          <t>Ventas</t>
        </is>
      </c>
      <c r="D284" s="19" t="inlineStr">
        <is>
          <t>Laura Gómez</t>
        </is>
      </c>
      <c r="E284" s="20" t="inlineStr">
        <is>
          <t>555-1611</t>
        </is>
      </c>
      <c r="F284" s="19" t="inlineStr">
        <is>
          <t>Asesor Comercial</t>
        </is>
      </c>
      <c r="G284" s="21" t="n">
        <v>24300</v>
      </c>
      <c r="H284" s="22" t="n">
        <v>43818</v>
      </c>
      <c r="I284" s="19" t="inlineStr">
        <is>
          <t>ana.vargas@empresa.com</t>
        </is>
      </c>
      <c r="J284" s="23" t="inlineStr">
        <is>
          <t>Activo</t>
        </is>
      </c>
    </row>
    <row r="285">
      <c r="A285" s="24" t="n">
        <v>384</v>
      </c>
      <c r="B285" s="25" t="inlineStr">
        <is>
          <t>Manuel López Vargas</t>
        </is>
      </c>
      <c r="C285" s="25" t="inlineStr">
        <is>
          <t>Ventas</t>
        </is>
      </c>
      <c r="D285" s="25" t="inlineStr">
        <is>
          <t>Laura Gómez</t>
        </is>
      </c>
      <c r="E285" s="26" t="inlineStr">
        <is>
          <t>555-9116</t>
        </is>
      </c>
      <c r="F285" s="25" t="inlineStr">
        <is>
          <t>Gerente de Ventas</t>
        </is>
      </c>
      <c r="G285" s="27" t="n">
        <v>36800</v>
      </c>
      <c r="H285" s="28" t="n">
        <v>43864</v>
      </c>
      <c r="I285" s="25" t="inlineStr">
        <is>
          <t>manuel.lopez384@empresa.com</t>
        </is>
      </c>
      <c r="J285" s="29" t="inlineStr">
        <is>
          <t>Activo</t>
        </is>
      </c>
    </row>
    <row r="286">
      <c r="A286" s="18" t="n">
        <v>385</v>
      </c>
      <c r="B286" s="19" t="inlineStr">
        <is>
          <t>Beatriz Vargas Hernández</t>
        </is>
      </c>
      <c r="C286" s="19" t="inlineStr">
        <is>
          <t>Ventas</t>
        </is>
      </c>
      <c r="D286" s="19" t="inlineStr">
        <is>
          <t>Laura Gómez</t>
        </is>
      </c>
      <c r="E286" s="20" t="inlineStr">
        <is>
          <t>555-2758</t>
        </is>
      </c>
      <c r="F286" s="19" t="inlineStr">
        <is>
          <t>Ejecutivo de Ventas</t>
        </is>
      </c>
      <c r="G286" s="21" t="n">
        <v>20400</v>
      </c>
      <c r="H286" s="22" t="n">
        <v>44473</v>
      </c>
      <c r="I286" s="19" t="inlineStr">
        <is>
          <t>beatriz.vargas@empresa.com</t>
        </is>
      </c>
      <c r="J286" s="23" t="inlineStr">
        <is>
          <t>Activo</t>
        </is>
      </c>
    </row>
    <row r="287">
      <c r="A287" s="24" t="n">
        <v>386</v>
      </c>
      <c r="B287" s="25" t="inlineStr">
        <is>
          <t>Ricardo Jiménez García</t>
        </is>
      </c>
      <c r="C287" s="25" t="inlineStr">
        <is>
          <t>Recursos Humanos</t>
        </is>
      </c>
      <c r="D287" s="25" t="inlineStr">
        <is>
          <t>Elena Pastrana</t>
        </is>
      </c>
      <c r="E287" s="26" t="inlineStr">
        <is>
          <t>555-8668</t>
        </is>
      </c>
      <c r="F287" s="25" t="inlineStr">
        <is>
          <t>Analista de Nómina</t>
        </is>
      </c>
      <c r="G287" s="27" t="n">
        <v>23200</v>
      </c>
      <c r="H287" s="28" t="n">
        <v>44218</v>
      </c>
      <c r="I287" s="25" t="inlineStr">
        <is>
          <t>ricardo.jimenez@empresa.com</t>
        </is>
      </c>
      <c r="J287" s="29" t="inlineStr">
        <is>
          <t>Activo</t>
        </is>
      </c>
    </row>
    <row r="288">
      <c r="A288" s="18" t="n">
        <v>387</v>
      </c>
      <c r="B288" s="19" t="inlineStr">
        <is>
          <t>María Sánchez López</t>
        </is>
      </c>
      <c r="C288" s="19" t="inlineStr">
        <is>
          <t>Marketing</t>
        </is>
      </c>
      <c r="D288" s="19" t="inlineStr">
        <is>
          <t>Sofía Castro</t>
        </is>
      </c>
      <c r="E288" s="20" t="inlineStr">
        <is>
          <t>555-4050</t>
        </is>
      </c>
      <c r="F288" s="19" t="inlineStr">
        <is>
          <t>Gerente de Marca</t>
        </is>
      </c>
      <c r="G288" s="21" t="n">
        <v>37000</v>
      </c>
      <c r="H288" s="22" t="n">
        <v>43158</v>
      </c>
      <c r="I288" s="19" t="inlineStr">
        <is>
          <t>maria.sanchez387@empresa.com</t>
        </is>
      </c>
      <c r="J288" s="23" t="inlineStr">
        <is>
          <t>Activo</t>
        </is>
      </c>
    </row>
    <row r="289">
      <c r="A289" s="24" t="n">
        <v>388</v>
      </c>
      <c r="B289" s="25" t="inlineStr">
        <is>
          <t>Mónica Hernández Reyes</t>
        </is>
      </c>
      <c r="C289" s="25" t="inlineStr">
        <is>
          <t>Marketing</t>
        </is>
      </c>
      <c r="D289" s="25" t="inlineStr">
        <is>
          <t>Sofía Castro</t>
        </is>
      </c>
      <c r="E289" s="26" t="inlineStr">
        <is>
          <t>555-7643</t>
        </is>
      </c>
      <c r="F289" s="25" t="inlineStr">
        <is>
          <t>Diseñador Gráfico</t>
        </is>
      </c>
      <c r="G289" s="27" t="n">
        <v>19100</v>
      </c>
      <c r="H289" s="28" t="n">
        <v>44852</v>
      </c>
      <c r="I289" s="25" t="inlineStr">
        <is>
          <t>monica.hernandez@empresa.com</t>
        </is>
      </c>
      <c r="J289" s="29" t="inlineStr">
        <is>
          <t>Activo</t>
        </is>
      </c>
    </row>
    <row r="290">
      <c r="A290" s="18" t="n">
        <v>389</v>
      </c>
      <c r="B290" s="19" t="inlineStr">
        <is>
          <t>Luis Flores Gutiérrez</t>
        </is>
      </c>
      <c r="C290" s="19" t="inlineStr">
        <is>
          <t>Ventas</t>
        </is>
      </c>
      <c r="D290" s="19" t="inlineStr">
        <is>
          <t>Laura Gómez</t>
        </is>
      </c>
      <c r="E290" s="20" t="inlineStr">
        <is>
          <t>555-8822</t>
        </is>
      </c>
      <c r="F290" s="19" t="inlineStr">
        <is>
          <t>Asesor Comercial</t>
        </is>
      </c>
      <c r="G290" s="21" t="n">
        <v>17900</v>
      </c>
      <c r="H290" s="22" t="n">
        <v>44426</v>
      </c>
      <c r="I290" s="19" t="inlineStr">
        <is>
          <t>luis.flores389@empresa.com</t>
        </is>
      </c>
      <c r="J290" s="23" t="inlineStr">
        <is>
          <t>Activo</t>
        </is>
      </c>
    </row>
    <row r="291">
      <c r="A291" s="24" t="n">
        <v>390</v>
      </c>
      <c r="B291" s="25" t="inlineStr">
        <is>
          <t>Juan Martínez Flores</t>
        </is>
      </c>
      <c r="C291" s="25" t="inlineStr">
        <is>
          <t>Compras</t>
        </is>
      </c>
      <c r="D291" s="25" t="inlineStr">
        <is>
          <t>Carlos Díaz</t>
        </is>
      </c>
      <c r="E291" s="26" t="inlineStr">
        <is>
          <t>555-5374</t>
        </is>
      </c>
      <c r="F291" s="25" t="inlineStr">
        <is>
          <t>Gerente de Compras</t>
        </is>
      </c>
      <c r="G291" s="27" t="n">
        <v>38100</v>
      </c>
      <c r="H291" s="28" t="n">
        <v>44451</v>
      </c>
      <c r="I291" s="25" t="inlineStr">
        <is>
          <t>juan.martinez@empresa.com</t>
        </is>
      </c>
      <c r="J291" s="29" t="inlineStr">
        <is>
          <t>Activo</t>
        </is>
      </c>
    </row>
    <row r="292">
      <c r="A292" s="18" t="n">
        <v>391</v>
      </c>
      <c r="B292" s="19" t="inlineStr">
        <is>
          <t>Claudia Reyes Pérez</t>
        </is>
      </c>
      <c r="C292" s="19" t="inlineStr">
        <is>
          <t>Sistemas</t>
        </is>
      </c>
      <c r="D292" s="19" t="inlineStr">
        <is>
          <t>Miguel López</t>
        </is>
      </c>
      <c r="E292" s="20" t="inlineStr">
        <is>
          <t>555-2017</t>
        </is>
      </c>
      <c r="F292" s="19" t="inlineStr">
        <is>
          <t>Soporte Técnico</t>
        </is>
      </c>
      <c r="G292" s="21" t="n">
        <v>27200</v>
      </c>
      <c r="H292" s="22" t="n">
        <v>45836</v>
      </c>
      <c r="I292" s="19" t="inlineStr">
        <is>
          <t>claudia.reyes@empresa.com</t>
        </is>
      </c>
      <c r="J292" s="23" t="inlineStr">
        <is>
          <t>Activo</t>
        </is>
      </c>
    </row>
    <row r="293">
      <c r="A293" s="24" t="n">
        <v>392</v>
      </c>
      <c r="B293" s="25" t="inlineStr">
        <is>
          <t>Elena López Flores</t>
        </is>
      </c>
      <c r="C293" s="25" t="inlineStr">
        <is>
          <t>Marketing</t>
        </is>
      </c>
      <c r="D293" s="25" t="inlineStr">
        <is>
          <t>Sofía Castro</t>
        </is>
      </c>
      <c r="E293" s="26" t="inlineStr">
        <is>
          <t>555-2923</t>
        </is>
      </c>
      <c r="F293" s="25" t="inlineStr">
        <is>
          <t>Coordinador de Marketing</t>
        </is>
      </c>
      <c r="G293" s="27" t="n">
        <v>27500</v>
      </c>
      <c r="H293" s="28" t="n">
        <v>45717</v>
      </c>
      <c r="I293" s="25" t="inlineStr">
        <is>
          <t>elena.lopez392@empresa.com</t>
        </is>
      </c>
      <c r="J293" s="29" t="inlineStr">
        <is>
          <t>Activo</t>
        </is>
      </c>
    </row>
    <row r="294">
      <c r="A294" s="18" t="n">
        <v>393</v>
      </c>
      <c r="B294" s="19" t="inlineStr">
        <is>
          <t>Elena Ramírez Cruz</t>
        </is>
      </c>
      <c r="C294" s="19" t="inlineStr">
        <is>
          <t>Compras</t>
        </is>
      </c>
      <c r="D294" s="19" t="inlineStr">
        <is>
          <t>Carlos Díaz</t>
        </is>
      </c>
      <c r="E294" s="20" t="inlineStr">
        <is>
          <t>555-3188</t>
        </is>
      </c>
      <c r="F294" s="19" t="inlineStr">
        <is>
          <t>Analista de Compras</t>
        </is>
      </c>
      <c r="G294" s="21" t="n">
        <v>29900</v>
      </c>
      <c r="H294" s="22" t="n">
        <v>45059</v>
      </c>
      <c r="I294" s="19" t="inlineStr">
        <is>
          <t>elena.ramirez@empresa.com</t>
        </is>
      </c>
      <c r="J294" s="23" t="inlineStr">
        <is>
          <t>Activo</t>
        </is>
      </c>
    </row>
    <row r="295">
      <c r="A295" s="24" t="n">
        <v>394</v>
      </c>
      <c r="B295" s="25" t="inlineStr">
        <is>
          <t>Claudia Cruz Ramírez</t>
        </is>
      </c>
      <c r="C295" s="25" t="inlineStr">
        <is>
          <t>Recursos Humanos</t>
        </is>
      </c>
      <c r="D295" s="25" t="inlineStr">
        <is>
          <t>Elena Pastrana</t>
        </is>
      </c>
      <c r="E295" s="26" t="inlineStr">
        <is>
          <t>555-9806</t>
        </is>
      </c>
      <c r="F295" s="25" t="inlineStr">
        <is>
          <t>Gerente de RRHH</t>
        </is>
      </c>
      <c r="G295" s="27" t="n">
        <v>36600</v>
      </c>
      <c r="H295" s="28" t="n">
        <v>45821</v>
      </c>
      <c r="I295" s="25" t="inlineStr">
        <is>
          <t>claudia.cruz394@empresa.com</t>
        </is>
      </c>
      <c r="J295" s="29" t="inlineStr">
        <is>
          <t>Activo</t>
        </is>
      </c>
    </row>
    <row r="296">
      <c r="A296" s="18" t="n">
        <v>395</v>
      </c>
      <c r="B296" s="19" t="inlineStr">
        <is>
          <t>Javier Rodríguez Gutiérrez</t>
        </is>
      </c>
      <c r="C296" s="19" t="inlineStr">
        <is>
          <t>Operaciones</t>
        </is>
      </c>
      <c r="D296" s="19" t="inlineStr">
        <is>
          <t>Alejandro Ruiz</t>
        </is>
      </c>
      <c r="E296" s="20" t="inlineStr">
        <is>
          <t>555-8319</t>
        </is>
      </c>
      <c r="F296" s="19" t="inlineStr">
        <is>
          <t>Operador de Logística</t>
        </is>
      </c>
      <c r="G296" s="21" t="n">
        <v>15300</v>
      </c>
      <c r="H296" s="22" t="n">
        <v>45264</v>
      </c>
      <c r="I296" s="19" t="inlineStr">
        <is>
          <t>javier.rodriguez395@empresa.com</t>
        </is>
      </c>
      <c r="J296" s="23" t="inlineStr">
        <is>
          <t>Activo</t>
        </is>
      </c>
    </row>
    <row r="297">
      <c r="A297" s="24" t="n">
        <v>396</v>
      </c>
      <c r="B297" s="25" t="inlineStr">
        <is>
          <t>Luis Vargas Reyes</t>
        </is>
      </c>
      <c r="C297" s="25" t="inlineStr">
        <is>
          <t>Ventas</t>
        </is>
      </c>
      <c r="D297" s="25" t="inlineStr">
        <is>
          <t>Laura Gómez</t>
        </is>
      </c>
      <c r="E297" s="26" t="inlineStr">
        <is>
          <t>555-9281</t>
        </is>
      </c>
      <c r="F297" s="25" t="inlineStr">
        <is>
          <t>Ejecutivo de Ventas</t>
        </is>
      </c>
      <c r="G297" s="27" t="n">
        <v>24500</v>
      </c>
      <c r="H297" s="28" t="n">
        <v>43929</v>
      </c>
      <c r="I297" s="25" t="inlineStr">
        <is>
          <t>luis.vargas@empresa.com</t>
        </is>
      </c>
      <c r="J297" s="29" t="inlineStr">
        <is>
          <t>Activo</t>
        </is>
      </c>
    </row>
    <row r="298">
      <c r="A298" s="18" t="n">
        <v>397</v>
      </c>
      <c r="B298" s="19" t="inlineStr">
        <is>
          <t>Carlos López Sánchez</t>
        </is>
      </c>
      <c r="C298" s="19" t="inlineStr">
        <is>
          <t>Operaciones</t>
        </is>
      </c>
      <c r="D298" s="19" t="inlineStr">
        <is>
          <t>Alejandro Ruiz</t>
        </is>
      </c>
      <c r="E298" s="20" t="inlineStr">
        <is>
          <t>555-4365</t>
        </is>
      </c>
      <c r="F298" s="19" t="inlineStr">
        <is>
          <t>Gerente de Operaciones</t>
        </is>
      </c>
      <c r="G298" s="21" t="n">
        <v>37900</v>
      </c>
      <c r="H298" s="22" t="n">
        <v>46037</v>
      </c>
      <c r="I298" s="19" t="inlineStr">
        <is>
          <t>carlos.lopez@empresa.com</t>
        </is>
      </c>
      <c r="J298" s="30" t="inlineStr">
        <is>
          <t>Inactivo</t>
        </is>
      </c>
    </row>
    <row r="299">
      <c r="A299" s="24" t="n">
        <v>398</v>
      </c>
      <c r="B299" s="25" t="inlineStr">
        <is>
          <t>Roberto Castillo Chávez</t>
        </is>
      </c>
      <c r="C299" s="25" t="inlineStr">
        <is>
          <t>Ventas</t>
        </is>
      </c>
      <c r="D299" s="25" t="inlineStr">
        <is>
          <t>Laura Gómez</t>
        </is>
      </c>
      <c r="E299" s="26" t="inlineStr">
        <is>
          <t>555-9409</t>
        </is>
      </c>
      <c r="F299" s="25" t="inlineStr">
        <is>
          <t>Gerente de Ventas</t>
        </is>
      </c>
      <c r="G299" s="27" t="n">
        <v>31400</v>
      </c>
      <c r="H299" s="28" t="n">
        <v>44802</v>
      </c>
      <c r="I299" s="25" t="inlineStr">
        <is>
          <t>roberto.castillo@empresa.com</t>
        </is>
      </c>
      <c r="J299" s="29" t="inlineStr">
        <is>
          <t>Activo</t>
        </is>
      </c>
    </row>
    <row r="300">
      <c r="A300" s="18" t="n">
        <v>399</v>
      </c>
      <c r="B300" s="19" t="inlineStr">
        <is>
          <t>Ana Jiménez Castillo</t>
        </is>
      </c>
      <c r="C300" s="19" t="inlineStr">
        <is>
          <t>Marketing</t>
        </is>
      </c>
      <c r="D300" s="19" t="inlineStr">
        <is>
          <t>Sofía Castro</t>
        </is>
      </c>
      <c r="E300" s="20" t="inlineStr">
        <is>
          <t>555-1356</t>
        </is>
      </c>
      <c r="F300" s="19" t="inlineStr">
        <is>
          <t>Coordinador de Marketing</t>
        </is>
      </c>
      <c r="G300" s="21" t="n">
        <v>28100</v>
      </c>
      <c r="H300" s="22" t="n">
        <v>44722</v>
      </c>
      <c r="I300" s="19" t="inlineStr">
        <is>
          <t>ana.jimenez@empresa.com</t>
        </is>
      </c>
      <c r="J300" s="23" t="inlineStr">
        <is>
          <t>Activo</t>
        </is>
      </c>
    </row>
    <row r="301">
      <c r="A301" s="24" t="n">
        <v>400</v>
      </c>
      <c r="B301" s="25" t="inlineStr">
        <is>
          <t>Juan Mendoza González</t>
        </is>
      </c>
      <c r="C301" s="25" t="inlineStr">
        <is>
          <t>Contabilidad</t>
        </is>
      </c>
      <c r="D301" s="25" t="inlineStr">
        <is>
          <t>Roberto Méndez</t>
        </is>
      </c>
      <c r="E301" s="26" t="inlineStr">
        <is>
          <t>555-7941</t>
        </is>
      </c>
      <c r="F301" s="25" t="inlineStr">
        <is>
          <t>Auxiliar Contable</t>
        </is>
      </c>
      <c r="G301" s="27" t="n">
        <v>13300</v>
      </c>
      <c r="H301" s="28" t="n">
        <v>44512</v>
      </c>
      <c r="I301" s="25" t="inlineStr">
        <is>
          <t>juan.mendoza400@empresa.com</t>
        </is>
      </c>
      <c r="J301" s="29" t="inlineStr">
        <is>
          <t>Activo</t>
        </is>
      </c>
    </row>
  </sheetData>
  <autoFilter ref="A1:J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2026-07-01T16:17:50Z</dcterms:created>
  <dcterms:modified xmlns:dcterms="http://purl.org/dc/terms/" xmlns:xsi="http://www.w3.org/2001/XMLSchema-instance" xsi:type="dcterms:W3CDTF">2026-07-01T16:17:50Z</dcterms:modified>
</cp:coreProperties>
</file>